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AGENTS" sheetId="1" state="visible" r:id="rId1"/>
    <sheet xmlns:r="http://schemas.openxmlformats.org/officeDocument/2006/relationships" name="BOM_PEN-ANA-01" sheetId="2" state="visible" r:id="rId2"/>
    <sheet xmlns:r="http://schemas.openxmlformats.org/officeDocument/2006/relationships" name="Sourcing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</font>
    <font>
      <b val="1"/>
      <i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center" vertical="top" wrapText="1"/>
    </xf>
    <xf numFmtId="164" fontId="0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164" fontId="2" fillId="0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165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8" customHeight="1">
      <c r="A1" s="1" t="inlineStr">
        <is>
          <t>BOM WORKING RULES — READ BEFORE PROCURING (Team 25, EM AccuBot)</t>
        </is>
      </c>
    </row>
    <row r="2" ht="30" customHeight="1">
      <c r="A2" s="2" t="inlineStr">
        <is>
          <t>Source of truth for FORMAT: docs/BOM_template.xls + lecture docs/Materials procurement.pdf (Dmitry, COEN/ELEC 390). Source of truth for CONTENT here: phase2/connector_requirements.xlsx (Locked-CONN / Locked-CAB sheets) + phase2/README.md specs #1-25 + AGENTS.md. This workbook is the orderable BOM for ONE sub-assembly only (PEN-ANA-01). Requirements history and ALT matrices stay in connector_requirements.xlsx — do not duplicate them here; reference them.</t>
        </is>
      </c>
    </row>
    <row r="3" ht="30" customHeight="1">
      <c r="A3" s="2" t="inlineStr"/>
    </row>
    <row r="4" ht="30" customHeight="1">
      <c r="A4" s="1" t="inlineStr">
        <is>
          <t>PRINCIPLES DISTILLED FROM THE LECTURE + TEMPLATE</t>
        </is>
      </c>
    </row>
    <row r="5" ht="30" customHeight="1">
      <c r="A5" s="1" t="inlineStr">
        <is>
          <t>SEARCH (before a part enters the BOM):</t>
        </is>
      </c>
    </row>
    <row r="6" ht="30" customHeight="1">
      <c r="A6" s="2" t="inlineStr">
        <is>
          <t>1. Define WHAT first: type/application + key parameters (voltage/current, size/footprint, temp range, power, mating cycles, capacitance, mass). Never search by price first. (Lecture pp.28-31; RQ sheets in connector_requirements.xlsx are this step written down.)</t>
        </is>
      </c>
    </row>
    <row r="7" ht="30" customHeight="1">
      <c r="A7" s="2" t="inlineStr">
        <is>
          <t>2. Every candidate must pass the subsystem RQ thresholds with MATH, not vibes (e.g. RQ-C2 contact-R, RQ-C3 C_total&lt;=73pF / fres&gt;10x34kHz, RQ-B2 cable K0 budget, ADC RQ-A1..A7). Record the calculation in connector_requirements.xlsx or phase2/*.md, then list only the winner here.</t>
        </is>
      </c>
    </row>
    <row r="8" ht="30" customHeight="1">
      <c r="A8" s="2" t="inlineStr">
        <is>
          <t>3. Newsboy spares rule (lecture pp.3-9): break-even 0 = shipping*p - part*(1-p) -&gt; p = part/(shipping+part); with salvage value 0 = shipping*p - (part-salvage)*(1-p). If P(need spare) &gt; p, order the spare NOW (a second DigiKey shipment costs more than the part). Worked example: $8 shipping, $3 ATmega -&gt; p=27%; 30% burn risk -&gt; order 2nd chip. Apply to every BOM line before submitting the order; document the spare count.</t>
        </is>
      </c>
    </row>
    <row r="9" ht="30" customHeight="1">
      <c r="A9" s="2" t="inlineStr">
        <is>
          <t>4. Approved suppliers: Montreal walk-in Abra / Addison; Canada DigiKey.ca / Mouser.ca / Newark (canada.newark.com); bulk cable Studio Economik (walk-in, per-foot IDs in Sourcing_notes). Prefer a single supplier per order to amortize shipping (Newsboy).</t>
        </is>
      </c>
    </row>
    <row r="10" ht="30" customHeight="1">
      <c r="A10" s="2" t="inlineStr">
        <is>
          <t>5. Packaging for prototypes: Cut Tape (CT) / cut-length cable — NOT full Tape&amp;Reel / Digi-Reel. Order exact qty + Newsboy spares.</t>
        </is>
      </c>
    </row>
    <row r="11" ht="30" customHeight="1">
      <c r="A11" s="1" t="inlineStr">
        <is>
          <t>FORMATTING (this sheet must always match docs/BOM_template.xls):</t>
        </is>
      </c>
    </row>
    <row r="12" ht="30" customHeight="1">
      <c r="A12" s="2" t="inlineStr">
        <is>
          <t>6. Header block rows 1-6: Company / Project / Design ref. / Prepared by / Rev.# + Date / Approved by. Never ship a BOM with _placeholders_ still in it.</t>
        </is>
      </c>
    </row>
    <row r="13" ht="30" customHeight="1">
      <c r="A13" s="2" t="inlineStr">
        <is>
          <t>7. Columns, in order, no renames: Item # | Design Reference # | Description | Value | QTY | Unit | Manufacturer | Manufacturer Part# | Package | Type | Supplier | Supplier P/N | Price (CAD) | Ext.price (CAD). Unit = units of QTY (pcs/ft/m), never value units.</t>
        </is>
      </c>
    </row>
    <row r="14" ht="30" customHeight="1">
      <c r="A14" s="2" t="inlineStr">
        <is>
          <t>8. One row per unique Manufacturer Part#. Group designators (e.g. J1,J2 — never one row per instance). Item # consecutive 1.0, 2.0, ....</t>
        </is>
      </c>
    </row>
    <row r="15" ht="30" customHeight="1">
      <c r="A15" s="2" t="inlineStr">
        <is>
          <t>9. Description = key parameters summary; Value = nominal (R/C/L) or MPN for everything else. No physical dimensions as line items (BOM definition, lecture p.11) — dimensions live in schematics/drawings.</t>
        </is>
      </c>
    </row>
    <row r="16" ht="30" customHeight="1">
      <c r="A16" s="2" t="inlineStr">
        <is>
          <t>10. All money in CAD, Price = unit''''s quote at order qty, Ext.price = QTY*Price (formula, 2 decimals), bottom row = GRAND TOTAL. FX if needed: 1 USD=1.425 / 1 EUR=1.604 CAD (Oct 2026, phase2/README.md). Landscape fit-to-page on print.</t>
        </is>
      </c>
    </row>
    <row r="17" ht="30" customHeight="1">
      <c r="A17" s="2" t="inlineStr">
        <is>
          <t>11. One BOM per assembly level (lecture pp.20-21): this file = sub-assembly PEN-ANA-01 ONLY (pen analog link). Do not append FG coils, ADC, PMS stage, or enclosure rows here — open BOM_&lt;SUB&gt;-&lt;NN&gt;.xlsx for those.</t>
        </is>
      </c>
    </row>
    <row r="18" ht="30" customHeight="1">
      <c r="A18" s="2" t="inlineStr">
        <is>
          <t>12. Alternates/second-sources are DOCUMENTED, not ordered: keep them in connector_requirements.xlsx ALT sheets + Sourcing_notes here; only the LOCKED winner gets a BOM row. Exception: explicitly mark ALT rows QTY=0 + 'DO NOT ORDER'.</t>
        </is>
      </c>
    </row>
    <row r="19" ht="30" customHeight="1">
      <c r="A19" s="1" t="inlineStr">
        <is>
          <t>WORKFLOW FOR FUTURE AGENTS:</t>
        </is>
      </c>
    </row>
    <row r="20" ht="30" customHeight="1">
      <c r="A20" s="2" t="inlineStr">
        <is>
          <t>A. Pick part against RQ (update RQ/ALT sheets in connector_requirements.xlsx with numbers, OIQ 3.1.2 weighted matrix style).</t>
        </is>
      </c>
    </row>
    <row r="21" ht="30" customHeight="1">
      <c r="A21" s="2" t="inlineStr">
        <is>
          <t>B. Add/extend ONE row here in template columns; QTY includes Newsboy spares (note spare math in Sourcing_notes).</t>
        </is>
      </c>
    </row>
    <row r="22" ht="30" customHeight="1">
      <c r="A22" s="2" t="inlineStr">
        <is>
          <t>C. Fill Supplier + Supplier P/N from the actual cart (exact string, e.g. DigiKey 22517901-ND style); re-quote Price at the real order qty; confirm Ext.price formula + TOTAL.</t>
        </is>
      </c>
    </row>
    <row r="23" ht="30" customHeight="1">
      <c r="A23" s="2" t="inlineStr">
        <is>
          <t>D. Replace header placeholders (Prepared by / Rev / Date / Approved by); bump Rev.# on every change; never edit docs/BOM_template.xls or vendor/.</t>
        </is>
      </c>
    </row>
    <row r="24" ht="30" customHeight="1">
      <c r="A24" s="2" t="inlineStr">
        <is>
          <t>E. Cross-checks before submit: sum(QTY per Design Ref) ok; Unit sane; every row has MPN + Supplier P/N (no TBD at order time); TOTAL &lt;= budget slice (&lt;=1000 CAD/pair system, Phase 1 #24); metal/mass/field constraints unaffected (#19 PEN&lt;=50g, #20 &lt;=27uT, 150mm metal-free).</t>
        </is>
      </c>
    </row>
    <row r="25" ht="30" customHeight="1">
      <c r="A25" s="2" t="inlineStr">
        <is>
          <t>STATUS OF THIS FILE (Rev 0.01, 2026-10-16): connector + cable LOCKED rows ported from connector_requirements.xlsx Rev B/C. Connector unit prices = TBD (re-quote at order; ALT-matrix estimates ~$3-4/ea IO, ~$9-13/ea Amphenol — do NOT treat as quotes). Cable prices from Economik per-foot walk-in. Spare-pair Newsboy calc NOT yet applied to L1/L2 (flagged in Sourcing_notes).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52" customWidth="1" min="3" max="3"/>
    <col width="18" customWidth="1" min="4" max="4"/>
    <col width="8" customWidth="1" min="5" max="5"/>
    <col width="8" customWidth="1" min="6" max="6"/>
    <col width="20" customWidth="1" min="7" max="7"/>
    <col width="24" customWidth="1" min="8" max="8"/>
    <col width="18" customWidth="1" min="9" max="9"/>
    <col width="12" customWidth="1" min="10" max="10"/>
    <col width="18" customWidth="1" min="11" max="11"/>
    <col width="20" customWidth="1" min="12" max="12"/>
    <col width="12" customWidth="1" min="13" max="13"/>
    <col width="12" customWidth="1" min="14" max="14"/>
  </cols>
  <sheetData>
    <row r="1">
      <c r="A1" s="3" t="inlineStr">
        <is>
          <t>Company:</t>
        </is>
      </c>
      <c r="B1" s="4" t="inlineStr">
        <is>
          <t>Concordia University, Department of Electrical and Computer Engineering</t>
        </is>
      </c>
    </row>
    <row r="2">
      <c r="A2" s="3" t="inlineStr">
        <is>
          <t>Project:</t>
        </is>
      </c>
      <c r="B2" s="4" t="inlineStr">
        <is>
          <t>EM AccuBot — Team 25 (ELEC/COEN 490)</t>
        </is>
      </c>
    </row>
    <row r="3">
      <c r="A3" s="3" t="inlineStr">
        <is>
          <t>Design ref.:</t>
        </is>
      </c>
      <c r="B3" s="4" t="inlineStr">
        <is>
          <t>PEN-ANA-01 — Pen analog link (sensor coil -&gt; preamp), 2 channels</t>
        </is>
      </c>
    </row>
    <row r="4">
      <c r="A4" s="3" t="inlineStr">
        <is>
          <t>Prepared by:</t>
        </is>
      </c>
      <c r="B4" s="4" t="inlineStr">
        <is>
          <t>_Your name_  (replace placeholder before issue)</t>
        </is>
      </c>
    </row>
    <row r="5">
      <c r="A5" s="3" t="inlineStr">
        <is>
          <t>Rev.#</t>
        </is>
      </c>
      <c r="B5" s="3" t="inlineStr">
        <is>
          <t>0.03 (tone plan 34 kHz: Ctotal&lt;=73pF; W2697 still compliant; ALT-cable worst-case claim withdrawn)</t>
        </is>
      </c>
      <c r="C5" s="4" t="inlineStr">
        <is>
          <t>Date:</t>
        </is>
      </c>
      <c r="D5" s="3" t="inlineStr">
        <is>
          <t>2026-10-26</t>
        </is>
      </c>
      <c r="E5" s="4" t="inlineStr">
        <is>
          <t>(YYYY-MM-DD)</t>
        </is>
      </c>
    </row>
    <row r="6">
      <c r="A6" s="3" t="inlineStr">
        <is>
          <t>Approved by:</t>
        </is>
      </c>
      <c r="B6" s="4" t="inlineStr">
        <is>
          <t>(sign before order)</t>
        </is>
      </c>
    </row>
    <row r="8" ht="30" customHeight="1">
      <c r="A8" s="5" t="inlineStr">
        <is>
          <t>Item #</t>
        </is>
      </c>
      <c r="B8" s="5" t="inlineStr">
        <is>
          <t>Design Reference #</t>
        </is>
      </c>
      <c r="C8" s="5" t="inlineStr">
        <is>
          <t>Description</t>
        </is>
      </c>
      <c r="D8" s="5" t="inlineStr">
        <is>
          <t>Value</t>
        </is>
      </c>
      <c r="E8" s="5" t="inlineStr">
        <is>
          <t>QTY</t>
        </is>
      </c>
      <c r="F8" s="5" t="inlineStr">
        <is>
          <t>Unit</t>
        </is>
      </c>
      <c r="G8" s="5" t="inlineStr">
        <is>
          <t>Manufacturer</t>
        </is>
      </c>
      <c r="H8" s="5" t="inlineStr">
        <is>
          <t>Manufacturer Part#</t>
        </is>
      </c>
      <c r="I8" s="5" t="inlineStr">
        <is>
          <t>Package</t>
        </is>
      </c>
      <c r="J8" s="5" t="inlineStr">
        <is>
          <t>Type</t>
        </is>
      </c>
      <c r="K8" s="5" t="inlineStr">
        <is>
          <t>Supplier</t>
        </is>
      </c>
      <c r="L8" s="5" t="inlineStr">
        <is>
          <t>Supplier P/N</t>
        </is>
      </c>
      <c r="M8" s="5" t="inlineStr">
        <is>
          <t>Price (CAD)</t>
        </is>
      </c>
      <c r="N8" s="5" t="inlineStr">
        <is>
          <t>Ext.price (CAD)</t>
        </is>
      </c>
    </row>
    <row r="9" ht="52" customHeight="1">
      <c r="A9" s="17" t="n">
        <v>1</v>
      </c>
      <c r="B9" s="7" t="inlineStr">
        <is>
          <t>J1, J2</t>
        </is>
      </c>
      <c r="C9" s="7" t="inlineStr">
        <is>
          <t>Mini-XLR 3-pos chassis receptacle, MALE pins, solder cup, brass/gold, &lt;=10mΩ, &gt;1GΩ, 1000V/60s, &gt;1000 cycles, IEC 61076-2-103 (panel bulkhead, preamp box)</t>
        </is>
      </c>
      <c r="D9" s="6" t="inlineStr">
        <is>
          <t>IO-TXLR3-M-PS-1</t>
        </is>
      </c>
      <c r="E9" s="8" t="n">
        <v>3</v>
      </c>
      <c r="F9" s="6" t="inlineStr">
        <is>
          <t>pcs</t>
        </is>
      </c>
      <c r="G9" s="6" t="inlineStr">
        <is>
          <t>IO</t>
        </is>
      </c>
      <c r="H9" s="6" t="inlineStr">
        <is>
          <t>IO-TXLR3-M-PS-1</t>
        </is>
      </c>
      <c r="I9" s="6" t="inlineStr">
        <is>
          <t>mini-XLR-3 panel</t>
        </is>
      </c>
      <c r="J9" s="6" t="inlineStr">
        <is>
          <t>connector</t>
        </is>
      </c>
      <c r="K9" s="6" t="inlineStr">
        <is>
          <t>Digi-Key</t>
        </is>
      </c>
      <c r="L9" s="6" t="inlineStr">
        <is>
          <t>1937-IO-TXLR3-M-PS-1-ND (verify …-ND suffix at order)</t>
        </is>
      </c>
      <c r="M9" s="9" t="n">
        <v>8.41</v>
      </c>
      <c r="N9" s="9">
        <f>IF(OR(M9="TBD",M9=""),"TBD",E9*M9)</f>
        <v/>
      </c>
    </row>
    <row r="10" ht="52" customHeight="1">
      <c r="A10" s="17" t="n">
        <v>2</v>
      </c>
      <c r="B10" s="7" t="inlineStr">
        <is>
          <t>P1, P2</t>
        </is>
      </c>
      <c r="C10" s="7" t="inlineStr">
        <is>
          <t>Mini-XLR 3-pos cable plug, FEMALE sockets, solder, bronze/gold, &lt;=10mΩ, 5A/50V, for 2-3.5mm OD cable, mates J1/J2 same-brand pairs (pen whip end)</t>
        </is>
      </c>
      <c r="D10" s="6" t="inlineStr">
        <is>
          <t>IO-TXLR3-F</t>
        </is>
      </c>
      <c r="E10" s="8" t="n">
        <v>3</v>
      </c>
      <c r="F10" s="6" t="inlineStr">
        <is>
          <t>pcs</t>
        </is>
      </c>
      <c r="G10" s="6" t="inlineStr">
        <is>
          <t>IO</t>
        </is>
      </c>
      <c r="H10" s="6" t="inlineStr">
        <is>
          <t>IO-TXLR3-F</t>
        </is>
      </c>
      <c r="I10" s="6" t="inlineStr">
        <is>
          <t>mini-XLR-3 cable</t>
        </is>
      </c>
      <c r="J10" s="6" t="inlineStr">
        <is>
          <t>connector</t>
        </is>
      </c>
      <c r="K10" s="6" t="inlineStr">
        <is>
          <t>Digi-Key (same order as Item 1)</t>
        </is>
      </c>
      <c r="L10" s="6" t="inlineStr">
        <is>
          <t>1937-IO-TXLR3-F-ND (verify …-ND suffix at order)</t>
        </is>
      </c>
      <c r="M10" s="9" t="n">
        <v>9.06</v>
      </c>
      <c r="N10" s="9">
        <f>IF(OR(M10="TBD",M10=""),"TBD",E10*M10)</f>
        <v/>
      </c>
    </row>
    <row r="11" ht="52" customHeight="1">
      <c r="A11" s="17" t="n">
        <v>3</v>
      </c>
      <c r="B11" s="7" t="inlineStr">
        <is>
          <t>W1a, W1b (+spare cut)</t>
        </is>
      </c>
      <c r="C11" s="7" t="inlineStr">
        <is>
          <t>Balanced mic cable 2c 28AWG stranded + served shield, 2.5mm OD, ~65pF/m; 0.6m/whip =&gt; ~59pF total w/ conn+amp &lt;=73pF budget at 34kHz; pen whip, lavalier flex (LOCKED Rev C)</t>
        </is>
      </c>
      <c r="D11" s="6" t="inlineStr">
        <is>
          <t>W2697</t>
        </is>
      </c>
      <c r="E11" s="8" t="n">
        <v>10</v>
      </c>
      <c r="F11" s="6" t="inlineStr">
        <is>
          <t>ft</t>
        </is>
      </c>
      <c r="G11" s="6" t="inlineStr">
        <is>
          <t>Mogami</t>
        </is>
      </c>
      <c r="H11" s="6" t="inlineStr">
        <is>
          <t>W2697</t>
        </is>
      </c>
      <c r="I11" s="6" t="inlineStr">
        <is>
          <t>bulk cut</t>
        </is>
      </c>
      <c r="J11" s="6" t="inlineStr">
        <is>
          <t>cable-bulk</t>
        </is>
      </c>
      <c r="K11" s="6" t="inlineStr">
        <is>
          <t>Studio Economik (walk-in)</t>
        </is>
      </c>
      <c r="L11" s="6" t="inlineStr">
        <is>
          <t>ID 12608</t>
        </is>
      </c>
      <c r="M11" s="9" t="n">
        <v>0.75</v>
      </c>
      <c r="N11" s="9">
        <f>IF(OR(M11="TBD",M11=""),"TBD",E11*M11)</f>
        <v/>
      </c>
    </row>
    <row r="12" ht="52" customHeight="1">
      <c r="A12" s="17" t="n">
        <v>4</v>
      </c>
      <c r="B12" s="7" t="inlineStr">
        <is>
          <t>W2 (static ref run)</t>
        </is>
      </c>
      <c r="C12" s="7" t="inlineStr">
        <is>
          <t>Mini quad cable 4c 26AWG paralleled-to-pair + shield, ~4mm OD, ~130pF/m; STATIC REFERENCE ONLY (jacket-strip to fit chuck); max 0.5m on air coils (LOCKED Rev C)</t>
        </is>
      </c>
      <c r="D12" s="6" t="inlineStr">
        <is>
          <t>W2893</t>
        </is>
      </c>
      <c r="E12" s="8" t="n">
        <v>5</v>
      </c>
      <c r="F12" s="6" t="inlineStr">
        <is>
          <t>ft</t>
        </is>
      </c>
      <c r="G12" s="6" t="inlineStr">
        <is>
          <t>Mogami</t>
        </is>
      </c>
      <c r="H12" s="6" t="inlineStr">
        <is>
          <t>W2893</t>
        </is>
      </c>
      <c r="I12" s="6" t="inlineStr">
        <is>
          <t>bulk cut</t>
        </is>
      </c>
      <c r="J12" s="6" t="inlineStr">
        <is>
          <t>cable-bulk</t>
        </is>
      </c>
      <c r="K12" s="6" t="inlineStr">
        <is>
          <t>Studio Economik (walk-in)</t>
        </is>
      </c>
      <c r="L12" s="6" t="inlineStr">
        <is>
          <t>ID 5521</t>
        </is>
      </c>
      <c r="M12" s="9" t="n">
        <v>1.61</v>
      </c>
      <c r="N12" s="9">
        <f>IF(OR(M12="TBD",M12=""),"TBD",E12*M12)</f>
        <v/>
      </c>
    </row>
    <row r="13" ht="24" customHeight="1">
      <c r="A13" s="10" t="inlineStr">
        <is>
          <t>TOTAL this sub-assembly (CAD) — Rev 0.02 (verify …-ND suffix + re-quote at order; sign header before issue)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2" t="n"/>
      <c r="M13" s="13" t="n"/>
      <c r="N13" s="14">
        <f>SUM(N9:N12)</f>
        <v/>
      </c>
    </row>
    <row r="15">
      <c r="A15" s="15" t="inlineStr">
        <is>
          <t>NOTES (not orderable rows — process, not parts): C3 termination per AES48: pen plug Pin1 = braid ONLY, coil-to-shield = open (DMM ∞Ω); panel Pin1+shell -&gt; chassis star; pigtail &lt;10mm. Female cable -&gt; male panel (mic convention, no exposed live pins on pen). Current-sense stays BNC, NOT in this BOM. Second source (documented, not ordered): Amphenol AG3MCC + AG3F. See connector_requirements.xlsx ALT-matrix + Sourcing_notes sheet.</t>
        </is>
      </c>
    </row>
    <row r="16"/>
    <row r="17"/>
    <row r="18"/>
  </sheetData>
  <mergeCells count="8">
    <mergeCell ref="E5:N5"/>
    <mergeCell ref="B1:N1"/>
    <mergeCell ref="B4:N4"/>
    <mergeCell ref="A13:L13"/>
    <mergeCell ref="A15:N18"/>
    <mergeCell ref="B6:N6"/>
    <mergeCell ref="B3:N3"/>
    <mergeCell ref="B2:N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 ht="56" customHeight="1">
      <c r="A1" s="16" t="inlineStr">
        <is>
          <t>Purpose</t>
        </is>
      </c>
      <c r="B1" s="2" t="inlineStr">
        <is>
          <t>Trace every BOM row back to its locked decision + RQ so a future agent can re-quote or re-vet without re-researching. Requirements live in phase2/connector_requirements.xlsx; this sheet is pointers + order-time facts.</t>
        </is>
      </c>
    </row>
    <row r="2" ht="44" customHeight="1">
      <c r="A2" s="16" t="inlineStr">
        <is>
          <t>L1/L2 trace</t>
        </is>
      </c>
      <c r="B2" s="2" t="inlineStr">
        <is>
          <t>Locked-CONN Rev B: IO primary, Amphenol AG3MCC+AG3F approved second-source. RQ-C1..C6 (3-pole, Rc&lt;=30mΩ/ΔR&lt;=10mΩ, Cc&lt;=10pF/Ctot&lt;=73pF, &gt;1000 mates, 360° shield star-at-ADC, Pmod-digital-not-here). Preamp-box panel mount; female-on-cable convention.</t>
        </is>
      </c>
    </row>
    <row r="3" ht="44" customHeight="1">
      <c r="A3" s="16" t="inlineStr">
        <is>
          <t>L1 order fact</t>
        </is>
      </c>
      <c r="B3" s="2" t="inlineStr">
        <is>
          <t>DigiKey.ca: 1937-IO-TXLR3-M-PS-1-ND @ $5.90 USD = $8.41 CAD (x1.425); IO-TXLR3-F: 1937-IO-TXLR3-F-ND @ $6.36 USD = $9.06 CAD. Prices scraped 2026-10-16 from digikey.com snippets (page 403s bot); VERIFY suffix + re-quote at order qty in cart.</t>
        </is>
      </c>
    </row>
    <row r="4" ht="44" customHeight="1">
      <c r="A4" s="16" t="inlineStr">
        <is>
          <t>L2 order fact</t>
        </is>
      </c>
      <c r="B4" s="2" t="inlineStr">
        <is>
          <t>CONSOLIDATED to Digi-Key same order as L1 (single-supplier rule, amortizes 1x shipping). Same-brand-per-pair preserved (both IO). Exact P/N above; verify at order; do not submit with TBD.</t>
        </is>
      </c>
    </row>
    <row r="5" ht="44" customHeight="1">
      <c r="A5" s="16" t="inlineStr">
        <is>
          <t>C1/C2 trace</t>
        </is>
      </c>
      <c r="B5" s="2" t="inlineStr">
        <is>
          <t>Locked-CAB Rev C: W2697 pen whip (2.5mm fits IO chuck 2-3.5mm, 0.6m≈59pF passes worst-case 3mH/73pF); W2893 static-ref only (~4mm, jacket-strip trick, ≤0.5m on air coils). RQ-B1..B5 (AWG/R, K0/K1 capacitance, braid-not-foil, OD/mass/flex, twist+star).</t>
        </is>
      </c>
    </row>
    <row r="6" ht="44" customHeight="1">
      <c r="A6" s="16" t="inlineStr">
        <is>
          <t>Cable order facts</t>
        </is>
      </c>
      <c r="B6" s="2" t="inlineStr">
        <is>
          <t>Studio Economik walk-in, per-foot: W2697 ID 12608 $0.75 CAD/ft; W2893 ID 5521 $1.61 CAD/ft (prices as filed; re-confirm at counter). Qty unit = ft to match the price list. 10 ft = 2×0.6m whips + spare/rework; 5 ft = static-ref run + spare.</t>
        </is>
      </c>
    </row>
    <row r="7" ht="44" customHeight="1">
      <c r="A7" s="16" t="inlineStr">
        <is>
          <t>Newsboy flag</t>
        </is>
      </c>
      <c r="B7" s="2" t="inlineStr">
        <is>
          <t>Newsboy 2026-10-16 (shipping $8 lecture fig., DigiKey.ca small-order): M-PS-1 p*=8.41/(8+8.41)=51%; F p*=9.06/(8+9.06)=53%. P(&gt;=1 rework/damage over 4 hand-soldered Tiny-XLR, ~20%/ea)=1-0.8^4=59% &gt; p* -&gt; +1 spare ea. (qty 2-&gt;3). Cable walk-in ship=$0 -&gt; p*=100%, no ship-driven spares; 10ft already holds 6ft rework spare (2x0.6m used).</t>
        </is>
      </c>
    </row>
    <row r="8" ht="44" customHeight="1">
      <c r="A8" s="16" t="inlineStr">
        <is>
          <t>Budget trace</t>
        </is>
      </c>
      <c r="B8" s="2" t="inlineStr">
        <is>
          <t>Rev 0.02 slice TOTAL: conn 3x8.41+3x9.06=$52.41 + cable 10x0.75+5x1.61=$15.55 = $67.96 CAD parts (+~$8 ship). Phase 1 #24: &lt;=1000 CAD/pair system. Placeholders left: Prepared by / Approved by (sign before order).</t>
        </is>
      </c>
    </row>
    <row r="9" ht="44" customHeight="1">
      <c r="A9" s="16" t="inlineStr">
        <is>
          <t>Do-not-do</t>
        </is>
      </c>
      <c r="B9" s="2" t="inlineStr">
        <is>
          <t>Do not add FG/ADC/PMS/enclosure rows here (BOM levels, lecture pp.20-21). Do not put dimensions in BOM. Do not order with TBD/placeholder cells. Do not edit docs/BOM_template.xls or vendor/.</t>
        </is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2026-10-16T17:52:54Z</dcterms:created>
  <dcterms:modified xmlns:dcterms="http://purl.org/dc/terms/" xmlns:xsi="http://www.w3.org/2001/XMLSchema-instance" xsi:type="dcterms:W3CDTF">2026-10-26T20:59:15Z</dcterms:modified>
</cp:coreProperties>
</file>