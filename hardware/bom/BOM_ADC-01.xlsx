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AGENTS" sheetId="1" state="visible" r:id="rId1"/>
    <sheet xmlns:r="http://schemas.openxmlformats.org/officeDocument/2006/relationships" name="BOM_ADC-01" sheetId="2" state="visible" r:id="rId2"/>
    <sheet xmlns:r="http://schemas.openxmlformats.org/officeDocument/2006/relationships" name="Sourc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20" customWidth="1" min="1" max="1"/>
  </cols>
  <sheetData>
    <row r="1" ht="40" customHeight="1">
      <c r="A1" s="1" t="inlineStr">
        <is>
          <t>BOM WORKING RULES — ADC-01 (Team 25, EM AccuBot). Shared format/process rules: see BOM_PEN-ANA-01.xlsx &gt; README_AGENTS (same lecture: docs/Materials procurement.pdf + docs/BOM_template.xls). This file = sub-assembly ADC-01 ONLY (signal-path ADC + Vref). RQ: phase2/adc_justification.md RQ-A1..A7 + §9c-§9e.</t>
        </is>
      </c>
    </row>
    <row r="2" ht="40" customHeight="1">
      <c r="A2" s="1" t="inlineStr">
        <is>
          <t>LOCKED: AD7768-4 (RL7 if qty-1 price confirms, else RL) primary per §9e gate (simultaneous 4-ch, 256kSPS, D=133µs, lanes OK, DigiKey stock). BACKUP (QTY=0, do not order): ADS1274IPAPR (144kSPS, N≤500 frames). Vref ADR434BRZ 4.096V (CN-0540-class pairing).</t>
        </is>
      </c>
    </row>
    <row r="3" ht="40" customHeight="1">
      <c r="A3" s="1" t="inlineStr">
        <is>
          <t>OPEN ITEMS before order: (1) re-quote RL7 vs RL qty-1 in cart; (2) ADI lifecycle check (Mouser delist note); (3) ADC input network (precharge buffer/RC) settled — datasheet now in docs/; the 73pF coil budget is cable+conn+preamp input, not ADC Cin (see tone_plan.md); (4) MCLK coherency/jitter from TCXO/PLL plan (tone_plan integer-J; 1ns=73.4dB at 34kHz); (5) decoupling values at schematic (not listed here). Sign header before issue.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70" customWidth="1" min="3" max="3"/>
    <col width="26" customWidth="1" min="4" max="4"/>
    <col width="6" customWidth="1" min="5" max="5"/>
    <col width="6" customWidth="1" min="6" max="6"/>
    <col width="16" customWidth="1" min="7" max="7"/>
    <col width="24" customWidth="1" min="8" max="8"/>
    <col width="16" customWidth="1" min="9" max="9"/>
    <col width="10" customWidth="1" min="10" max="10"/>
    <col width="16" customWidth="1" min="11" max="11"/>
    <col width="26" customWidth="1" min="12" max="12"/>
    <col width="12" customWidth="1" min="13" max="13"/>
    <col width="14" customWidth="1" min="14" max="14"/>
  </cols>
  <sheetData>
    <row r="1">
      <c r="A1" t="inlineStr">
        <is>
          <t>Company:</t>
        </is>
      </c>
      <c r="B1" t="inlineStr">
        <is>
          <t>Concordia University, Department of Electrical and Computer Engineering</t>
        </is>
      </c>
    </row>
    <row r="2">
      <c r="A2" t="inlineStr">
        <is>
          <t>Project:</t>
        </is>
      </c>
      <c r="B2" t="inlineStr">
        <is>
          <t>EM AccuBot — Team 25 (ELEC/COEN 490)</t>
        </is>
      </c>
    </row>
    <row r="3">
      <c r="A3" t="inlineStr">
        <is>
          <t>Design ref.:</t>
        </is>
      </c>
      <c r="B3" t="inlineStr">
        <is>
          <t>ADC-01 — Signal-path ADC + Vref (4-ch simultaneous SD + 4.096V ref)</t>
        </is>
      </c>
    </row>
    <row r="4">
      <c r="A4" t="inlineStr">
        <is>
          <t>Prepared by:</t>
        </is>
      </c>
      <c r="B4" t="inlineStr">
        <is>
          <t>_Your name_  (replace placeholder before issue)</t>
        </is>
      </c>
    </row>
    <row r="5">
      <c r="A5" t="inlineStr">
        <is>
          <t>Rev.#</t>
        </is>
      </c>
      <c r="B5" t="inlineStr">
        <is>
          <t>0.01</t>
        </is>
      </c>
      <c r="C5" t="inlineStr">
        <is>
          <t>Date:</t>
        </is>
      </c>
      <c r="D5" t="inlineStr">
        <is>
          <t>2026-10-16</t>
        </is>
      </c>
      <c r="E5" t="inlineStr">
        <is>
          <t>(YYYY-MM-DD)</t>
        </is>
      </c>
    </row>
    <row r="6">
      <c r="A6" t="inlineStr">
        <is>
          <t>Approved by:</t>
        </is>
      </c>
      <c r="B6" t="inlineStr">
        <is>
          <t>(sign before order)</t>
        </is>
      </c>
    </row>
    <row r="8">
      <c r="A8" s="2" t="inlineStr">
        <is>
          <t>Item #</t>
        </is>
      </c>
      <c r="B8" s="2" t="inlineStr">
        <is>
          <t>Design Reference #</t>
        </is>
      </c>
      <c r="C8" s="2" t="inlineStr">
        <is>
          <t>Description</t>
        </is>
      </c>
      <c r="D8" s="2" t="inlineStr">
        <is>
          <t>Value</t>
        </is>
      </c>
      <c r="E8" s="2" t="inlineStr">
        <is>
          <t>QTY</t>
        </is>
      </c>
      <c r="F8" s="2" t="inlineStr">
        <is>
          <t>Unit</t>
        </is>
      </c>
      <c r="G8" s="2" t="inlineStr">
        <is>
          <t>Manufacturer</t>
        </is>
      </c>
      <c r="H8" s="2" t="inlineStr">
        <is>
          <t>Manufacturer Part#</t>
        </is>
      </c>
      <c r="I8" s="2" t="inlineStr">
        <is>
          <t>Package</t>
        </is>
      </c>
      <c r="J8" s="2" t="inlineStr">
        <is>
          <t>Type</t>
        </is>
      </c>
      <c r="K8" s="2" t="inlineStr">
        <is>
          <t>Supplier</t>
        </is>
      </c>
      <c r="L8" s="2" t="inlineStr">
        <is>
          <t>Supplier P/N</t>
        </is>
      </c>
      <c r="M8" s="2" t="inlineStr">
        <is>
          <t>Price (CAD)</t>
        </is>
      </c>
      <c r="N8" s="2" t="inlineStr">
        <is>
          <t>Ext.price (CAD)</t>
        </is>
      </c>
    </row>
    <row r="9">
      <c r="A9" s="3" t="n">
        <v>1</v>
      </c>
      <c r="B9" s="3" t="inlineStr">
        <is>
          <t>U1</t>
        </is>
      </c>
      <c r="C9" s="3" t="inlineStr">
        <is>
          <t>24-bit 4-ch simultaneous sigma-delta ADC, 256kSPS/ch, FIR D=34/ODR≈133µs, SPI lanes (DCLK≥8.2M), 108dB DR; signal path Ch0=current pseudo-diff, Ch1=pen, Ch2=ref (LOCKED §9e)</t>
        </is>
      </c>
      <c r="D9" s="3" t="inlineStr">
        <is>
          <t>AD7768-4BSTZ-RL7 (RL if cheaper @qty1)</t>
        </is>
      </c>
      <c r="E9" s="3" t="n">
        <v>2</v>
      </c>
      <c r="F9" s="3" t="inlineStr">
        <is>
          <t>pcs</t>
        </is>
      </c>
      <c r="G9" s="3" t="inlineStr">
        <is>
          <t>Analog Devices</t>
        </is>
      </c>
      <c r="H9" s="3" t="inlineStr">
        <is>
          <t>AD7768-4BSTZ-RL7</t>
        </is>
      </c>
      <c r="I9" s="3" t="inlineStr">
        <is>
          <t>64-LQFP</t>
        </is>
      </c>
      <c r="J9" s="3" t="inlineStr">
        <is>
          <t>IC-ADC</t>
        </is>
      </c>
      <c r="K9" s="3" t="inlineStr">
        <is>
          <t>Digi-Key</t>
        </is>
      </c>
      <c r="L9" s="3" t="inlineStr">
        <is>
          <t>AD7768-4BSTZ-RL7-ND? verify RL7-vs-RL qty-1 price in cart</t>
        </is>
      </c>
      <c r="M9" s="3" t="n">
        <v>49.65</v>
      </c>
      <c r="N9" s="3">
        <f>IF(OR(M9="TBD",M9=""),"TBD",E9*M9)</f>
        <v/>
      </c>
    </row>
    <row r="10">
      <c r="A10" s="3" t="n">
        <v>2</v>
      </c>
      <c r="B10" s="3" t="inlineStr">
        <is>
          <t>U1-ALT (DO NOT ORDER)</t>
        </is>
      </c>
      <c r="C10" s="3" t="inlineStr">
        <is>
          <t>24-bit 4-ch simultaneous SD ADC, to 144kSPS; BACKUP ONLY (N≤500 frames; HTQFP PowerPAD needs hot-air/JLC)</t>
        </is>
      </c>
      <c r="D10" s="3" t="inlineStr">
        <is>
          <t>ADS1274IPAPR</t>
        </is>
      </c>
      <c r="E10" s="3" t="n">
        <v>0</v>
      </c>
      <c r="F10" s="3" t="inlineStr">
        <is>
          <t>pcs</t>
        </is>
      </c>
      <c r="G10" s="3" t="inlineStr">
        <is>
          <t>Texas Instruments</t>
        </is>
      </c>
      <c r="H10" s="3" t="inlineStr">
        <is>
          <t>ADS1274IPAPR</t>
        </is>
      </c>
      <c r="I10" s="3" t="inlineStr">
        <is>
          <t>HTQFP-64 PowerPAD</t>
        </is>
      </c>
      <c r="J10" s="3" t="inlineStr">
        <is>
          <t>IC-ADC</t>
        </is>
      </c>
      <c r="K10" s="3" t="inlineStr">
        <is>
          <t>Digi-Key</t>
        </is>
      </c>
      <c r="L10" s="3" t="inlineStr">
        <is>
          <t>verify -ND at promotion time</t>
        </is>
      </c>
      <c r="M10" s="3" t="inlineStr">
        <is>
          <t>TBD (backup)</t>
        </is>
      </c>
      <c r="N10" s="3">
        <f>IF(OR(M10="TBD",M10=""),"TBD",E10*M10)</f>
        <v/>
      </c>
    </row>
    <row r="11">
      <c r="A11" s="3" t="n">
        <v>3</v>
      </c>
      <c r="B11" s="3" t="inlineStr">
        <is>
          <t>U2</t>
        </is>
      </c>
      <c r="C11" s="3" t="inlineStr">
        <is>
          <t>Series Vref 4.096V XFET 0.04% (CN-0540-class pairing for AD7768 REF); ADR4540 lower-noise alt documented not ordered</t>
        </is>
      </c>
      <c r="D11" s="3" t="inlineStr">
        <is>
          <t>ADR434BRZ</t>
        </is>
      </c>
      <c r="E11" s="3" t="n">
        <v>1</v>
      </c>
      <c r="F11" s="3" t="inlineStr">
        <is>
          <t>pcs</t>
        </is>
      </c>
      <c r="G11" s="3" t="inlineStr">
        <is>
          <t>Analog Devices</t>
        </is>
      </c>
      <c r="H11" s="3" t="inlineStr">
        <is>
          <t>ADR434BRZ</t>
        </is>
      </c>
      <c r="I11" s="3" t="inlineStr">
        <is>
          <t>8-SOIC</t>
        </is>
      </c>
      <c r="J11" s="3" t="inlineStr">
        <is>
          <t>IC-VREF</t>
        </is>
      </c>
      <c r="K11" s="3" t="inlineStr">
        <is>
          <t>Digi-Key</t>
        </is>
      </c>
      <c r="L11" s="3" t="inlineStr">
        <is>
          <t>ADR434BRZ-ND? verify in cart</t>
        </is>
      </c>
      <c r="M11" s="3" t="n">
        <v>23.01</v>
      </c>
      <c r="N11" s="3">
        <f>IF(OR(M11="TBD",M11=""),"TBD",E11*M11)</f>
        <v/>
      </c>
    </row>
    <row r="12">
      <c r="A12" t="inlineStr">
        <is>
          <t>TOTAL this sub-assembly (CAD) — Rev 0.01 (re-quote RL7/RL + verify P/Ns at order)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>
        <f>SUM(N9:N11)</f>
        <v/>
      </c>
    </row>
    <row r="13">
      <c r="A13" t="inlineStr">
        <is>
          <t>NOTES: MCLK from TCXO/PLL (no part; FPGA clock plan). Cin + droop-temp + lifecycle checks per §9e before order. Decoupling values at schematic Rev (not listed).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200" customWidth="1" min="2" max="2"/>
  </cols>
  <sheetData>
    <row r="1" ht="32" customHeight="1">
      <c r="A1" s="1" t="inlineStr">
        <is>
          <t>Purpose</t>
        </is>
      </c>
      <c r="B1" s="1" t="inlineStr">
        <is>
          <t>Pointers + order-time facts for ADC-01. RQ lives in phase2/adc_justification.md (RQ-A1..A7, §9c-§9e); do not duplicate math here.</t>
        </is>
      </c>
    </row>
    <row r="2" ht="32" customHeight="1">
      <c r="A2" s="1" t="inlineStr">
        <is>
          <t>U1 trace</t>
        </is>
      </c>
      <c r="B2" s="1" t="inlineStr">
        <is>
          <t>§9e gate: simultaneous ✓ (4-ch), 256k≥250k preferred ✓ (at the line), D=133µs&lt;0.5ms ✓, BW 110.8k ✓, 108dB ✓, lanes ✓. Chan map: Ch0 driver-current pseudo-diff, Ch1 pen true-diff, Ch2 ref, Ch3 spare. N=500→1.95ms / N=1000→3.9ms acq.</t>
        </is>
      </c>
    </row>
    <row r="3" ht="32" customHeight="1">
      <c r="A3" s="1" t="inlineStr">
        <is>
          <t>U1 order facts</t>
        </is>
      </c>
      <c r="B3" s="1" t="inlineStr">
        <is>
          <t>DigiKey RL p.6056981 qty1 $34.84 USD=$49.65 CAD (x1.425), stock 4 (thin). RL7 p.6056982 also in-stock — compare qty-1 unit price in cart, take cheaper; fallback RL. Mouser 925 but delist-on-depletion note → run ADI lifecycle check pre-order.</t>
        </is>
      </c>
    </row>
    <row r="4" ht="32" customHeight="1">
      <c r="A4" s="1" t="inlineStr">
        <is>
          <t>U1-ALT facts</t>
        </is>
      </c>
      <c r="B4" s="1" t="inlineStr">
        <is>
          <t>ADS1274IPAPR: TI quad 24b SD to 144kSPS, ~5.8k stock, CT available. Clears 110k floor thin, below 250k preferred → backup only, N≤500. PowerPAD → hot-air/JLC. Promote only if AD7768 fails Cin/lifecycle/droop checks.</t>
        </is>
      </c>
    </row>
    <row r="5" ht="32" customHeight="1">
      <c r="A5" s="1" t="inlineStr">
        <is>
          <t>U2 facts</t>
        </is>
      </c>
      <c r="B5" s="1" t="inlineStr">
        <is>
          <t>ADR434BRZ DigiKey p.997797 in-stock $16.15 USD=$23.01 CAD. CN-0540 used ADR4540 (lower noise) — alt documented, not ordered. QTY 1: Newsboy p*=23.01/31.01=74% vs SOIC kill-risk ~10% → no spare.</t>
        </is>
      </c>
    </row>
    <row r="6" ht="32" customHeight="1">
      <c r="A6" s="1" t="inlineStr">
        <is>
          <t>Newsboy U1</t>
        </is>
      </c>
      <c r="B6" s="1" t="inlineStr">
        <is>
          <t>p*=49.65/(8+49.65)=86% vs student-kills-64-LQFP risk ~30% → math says 1; ordering 2 anyway (build + 1 spare) on stock-risk grounds (4 left at DigiKey). Recorded as risk-driven override. JLCPCB assembly considered to cut solder risk.</t>
        </is>
      </c>
    </row>
    <row r="7" ht="32" customHeight="1">
      <c r="A7" s="1" t="inlineStr">
        <is>
          <t>Budget trace</t>
        </is>
      </c>
      <c r="B7" s="1" t="inlineStr">
        <is>
          <t>ADC-01 Rev 0.01: 2×49.65+23.01=$122.31 CAD (+~$8 shared DigiKey ship if batched with PEN-ANA-01 conn order). System-to-date ≈ $67.96+$122.31=$190.27 vs ≤1000 CAD/pair (#24).</t>
        </is>
      </c>
    </row>
    <row r="8" ht="32" customHeight="1">
      <c r="A8" s="1" t="inlineStr">
        <is>
          <t>Do-not-do</t>
        </is>
      </c>
      <c r="B8" s="1" t="inlineStr">
        <is>
          <t>No FG/PMS/enclosure rows here. No TBD at order (U1 RL7/RL price + suffixes verified in cart). No edits to docs/BOM_template.xls or vendor/.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2026-10-16T20:04:16Z</dcterms:created>
  <dcterms:modified xmlns:dcterms="http://purl.org/dc/terms/" xmlns:xsi="http://www.w3.org/2001/XMLSchema-instance" xsi:type="dcterms:W3CDTF">2026-10-26T21:03:09Z</dcterms:modified>
</cp:coreProperties>
</file>