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AGENTS" sheetId="1" state="visible" r:id="rId1"/>
    <sheet xmlns:r="http://schemas.openxmlformats.org/officeDocument/2006/relationships" name="Roll_up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FG-01" sheetId="4" state="visible" r:id="rId4"/>
    <sheet xmlns:r="http://schemas.openxmlformats.org/officeDocument/2006/relationships" name="PWR-DRV-01" sheetId="5" state="visible" r:id="rId5"/>
    <sheet xmlns:r="http://schemas.openxmlformats.org/officeDocument/2006/relationships" name="FE-ADC-01" sheetId="6" state="visible" r:id="rId6"/>
    <sheet xmlns:r="http://schemas.openxmlformats.org/officeDocument/2006/relationships" name="FPGA-IF-01" sheetId="7" state="visible" r:id="rId7"/>
    <sheet xmlns:r="http://schemas.openxmlformats.org/officeDocument/2006/relationships" name="PEN-01" sheetId="8" state="visible" r:id="rId8"/>
    <sheet xmlns:r="http://schemas.openxmlformats.org/officeDocument/2006/relationships" name="PMS-01" sheetId="9" state="visible" r:id="rId9"/>
    <sheet xmlns:r="http://schemas.openxmlformats.org/officeDocument/2006/relationships" name="ENCL-01" sheetId="10" state="visible" r:id="rId10"/>
    <sheet xmlns:r="http://schemas.openxmlformats.org/officeDocument/2006/relationships" name="Sourcing_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2" fontId="0" fillId="0" borderId="1" pivotButton="0" quotePrefix="0" xfId="0"/>
    <xf numFmtId="0" fontId="2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2" fontId="2" fillId="3" borderId="1" pivotButton="0" quotePrefix="0" xfId="0"/>
    <xf numFmtId="2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BOM WORKING RULES - SYSTEM-01 (EM AccuBot, Team 25)</t>
        </is>
      </c>
    </row>
    <row r="2">
      <c r="A2" s="2" t="inlineStr"/>
    </row>
    <row r="3">
      <c r="A3" s="2" t="inlineStr">
        <is>
          <t>Purpose: full-system BOM Rev 0.02 for the Phase 2 design review. One sheet per assembly level; the Roll_up sheet totals them. M16 DAC/filter selected 2026-10-27.</t>
        </is>
      </c>
    </row>
    <row r="4">
      <c r="A4" s="2" t="inlineStr">
        <is>
          <t>Format: docs/BOM_template.xls + docs/Materials procurement.pdf (Dmitry, COEN/ELEC 390).</t>
        </is>
      </c>
    </row>
    <row r="5">
      <c r="A5" s="2" t="inlineStr">
        <is>
          <t>Money: CAD. FX 1 USD = 1.425 CAD, 1 EUR = 1.604 CAD (Oct 2026).</t>
        </is>
      </c>
    </row>
    <row r="6">
      <c r="A6" s="2" t="inlineStr">
        <is>
          <t>Price is an estimate at the order quantity; re-quote before purchase. No row may ship with a placeholder supplier P/N.</t>
        </is>
      </c>
    </row>
    <row r="7">
      <c r="A7" s="2" t="inlineStr">
        <is>
          <t>Newsboy spares: build + spare quantities are used for AD7768-4, AD5541A, LMH6321, INA163, ADA4940-2, CSX750FBC32.768M. Alternate rows are QTY=0 and DO NOT ORDER.</t>
        </is>
      </c>
    </row>
    <row r="8">
      <c r="A8" s="2" t="inlineStr"/>
    </row>
    <row r="9">
      <c r="A9" s="3" t="inlineStr">
        <is>
          <t>SHEETS</t>
        </is>
      </c>
    </row>
    <row r="10">
      <c r="A10" s="2" t="inlineStr">
        <is>
          <t>Roll_up - assembly totals + budget check</t>
        </is>
      </c>
    </row>
    <row r="11">
      <c r="A11" s="2" t="inlineStr">
        <is>
          <t>FG-01 - 8-coil PCB + connectors + ICNIRP guard</t>
        </is>
      </c>
    </row>
    <row r="12">
      <c r="A12" s="2" t="inlineStr">
        <is>
          <t>PWR-DRV-01 - 8x AD5541A + 8x LMH6321 + current sense + power + E-stop</t>
        </is>
      </c>
    </row>
    <row r="13">
      <c r="A13" s="2" t="inlineStr">
        <is>
          <t>FE-ADC-01 - INA163 + ADA4940-2 + AD7768-4 + reference + clock</t>
        </is>
      </c>
    </row>
    <row r="14">
      <c r="A14" s="2" t="inlineStr">
        <is>
          <t>FPGA-IF-01 - 2x20 interface + opto + fan (FPGA board owned)</t>
        </is>
      </c>
    </row>
    <row r="15">
      <c r="A15" s="2" t="inlineStr">
        <is>
          <t>PEN-01 - coil B + mini-XLR + cable + reference coil</t>
        </is>
      </c>
    </row>
    <row r="16">
      <c r="A16" s="2" t="inlineStr">
        <is>
          <t>PMS-01 - MicroManipulatorStepper XYZ + Pico 2 + drivers</t>
        </is>
      </c>
    </row>
    <row r="17">
      <c r="A17" s="2" t="inlineStr">
        <is>
          <t>ENCL-01 - enclosure + E-stop + camera/display + panel</t>
        </is>
      </c>
    </row>
    <row r="18">
      <c r="A18" s="2" t="inlineStr">
        <is>
          <t>Sourcing_notes - part trace, lifecycle, budget variance, cost-reduction options</t>
        </is>
      </c>
    </row>
    <row r="19">
      <c r="A19" s="2" t="inlineStr"/>
    </row>
    <row r="20">
      <c r="A20" s="2" t="inlineStr">
        <is>
          <t>STATUS: Rev 0.04, 2026-10-28. BRD-01 single board; FPGA = PS-less Artix-7 XC7A35T-1FTG256C (no DDR3/PS); M16 DAC80508 + 8x LTC1563-2. Baseline ~$2349; controller-only ~$1522; trimmed ~$1163; still above the $1000 cap.</t>
        </is>
      </c>
    </row>
    <row r="21">
      <c r="A21" s="2" t="inlineStr">
        <is>
          <t>The baseline estimate is ABOVE the Phase 1 &lt;=1000 CAD/pair cap. See Sourcing_notes and Roll_up for the variance and the cost-reduction options. Do not order until the team signs the deviation or the trimmed configuration.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zoomScale="85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52" customWidth="1" min="3" max="3"/>
    <col width="16" customWidth="1" min="4" max="4"/>
    <col width="7" customWidth="1" min="5" max="5"/>
    <col width="7" customWidth="1" min="6" max="6"/>
    <col width="18" customWidth="1" min="7" max="7"/>
    <col width="26" customWidth="1" min="8" max="8"/>
    <col width="16" customWidth="1" min="9" max="9"/>
    <col width="12" customWidth="1" min="10" max="10"/>
    <col width="16" customWidth="1" min="11" max="11"/>
    <col width="26" customWidth="1" min="12" max="12"/>
    <col width="11" customWidth="1" min="13" max="13"/>
    <col width="12" customWidth="1" min="14" max="14"/>
  </cols>
  <sheetData>
    <row r="1">
      <c r="A1" s="4" t="inlineStr">
        <is>
          <t>Company:</t>
        </is>
      </c>
      <c r="B1" t="inlineStr">
        <is>
          <t>Concordia University, Department of Electrical and Computer Engineering</t>
        </is>
      </c>
    </row>
    <row r="2">
      <c r="A2" s="4" t="inlineStr">
        <is>
          <t>Project:</t>
        </is>
      </c>
      <c r="B2" t="inlineStr">
        <is>
          <t>EM AccuBot - Team 25 (ELEC/COEN 490)</t>
        </is>
      </c>
    </row>
    <row r="3">
      <c r="A3" s="4" t="inlineStr">
        <is>
          <t>Design ref.:</t>
        </is>
      </c>
      <c r="B3" t="inlineStr">
        <is>
          <t>SYSTEM-01 - full system roll-up</t>
        </is>
      </c>
    </row>
    <row r="4">
      <c r="A4" s="4" t="inlineStr">
        <is>
          <t>Prepared by:</t>
        </is>
      </c>
      <c r="B4" t="inlineStr">
        <is>
          <t>Team 25 / design review</t>
        </is>
      </c>
    </row>
    <row r="5">
      <c r="A5" s="4" t="inlineStr">
        <is>
          <t>Rev.#</t>
        </is>
      </c>
      <c r="B5" t="inlineStr">
        <is>
          <t>0.01</t>
        </is>
      </c>
      <c r="C5" t="inlineStr">
        <is>
          <t>Date:</t>
        </is>
      </c>
      <c r="D5" t="inlineStr">
        <is>
          <t>2026-10-27</t>
        </is>
      </c>
    </row>
    <row r="6">
      <c r="A6" s="4" t="inlineStr">
        <is>
          <t>Approved by:</t>
        </is>
      </c>
      <c r="B6" t="inlineStr">
        <is>
          <t>(sign before order)</t>
        </is>
      </c>
    </row>
    <row r="8">
      <c r="A8" s="5" t="inlineStr">
        <is>
          <t>SYSTEM ROLL-UP (Rev A, CAD)</t>
        </is>
      </c>
    </row>
    <row r="10">
      <c r="A10" s="6" t="inlineStr">
        <is>
          <t>Item #</t>
        </is>
      </c>
      <c r="B10" s="6" t="inlineStr">
        <is>
          <t>Design Reference #</t>
        </is>
      </c>
      <c r="C10" s="6" t="inlineStr">
        <is>
          <t>Description</t>
        </is>
      </c>
      <c r="D10" s="6" t="inlineStr">
        <is>
          <t>Value</t>
        </is>
      </c>
      <c r="E10" s="6" t="inlineStr">
        <is>
          <t>QTY</t>
        </is>
      </c>
      <c r="F10" s="6" t="inlineStr">
        <is>
          <t>Unit</t>
        </is>
      </c>
      <c r="G10" s="6" t="inlineStr">
        <is>
          <t>Manufacturer</t>
        </is>
      </c>
      <c r="H10" s="6" t="inlineStr">
        <is>
          <t>Manufacturer Part#</t>
        </is>
      </c>
      <c r="I10" s="6" t="inlineStr">
        <is>
          <t>Package</t>
        </is>
      </c>
      <c r="J10" s="6" t="inlineStr">
        <is>
          <t>Type</t>
        </is>
      </c>
      <c r="K10" s="6" t="inlineStr">
        <is>
          <t>Supplier</t>
        </is>
      </c>
      <c r="L10" s="6" t="inlineStr">
        <is>
          <t>Supplier P/N</t>
        </is>
      </c>
      <c r="M10" s="6" t="inlineStr">
        <is>
          <t>Price (CAD)</t>
        </is>
      </c>
      <c r="N10" s="6" t="inlineStr">
        <is>
          <t>Ext.price (CAD)</t>
        </is>
      </c>
    </row>
    <row r="11">
      <c r="A11" s="7" t="n">
        <v>1</v>
      </c>
      <c r="B11" s="7" t="inlineStr">
        <is>
          <t>FG-01</t>
        </is>
      </c>
      <c r="C11" s="7" t="inlineStr">
        <is>
          <t>Field generator PCB + connectors + guard</t>
        </is>
      </c>
      <c r="D11" s="7" t="inlineStr"/>
      <c r="E11" s="7" t="n">
        <v>1</v>
      </c>
      <c r="F11" s="7" t="inlineStr">
        <is>
          <t>lot</t>
        </is>
      </c>
      <c r="G11" s="7" t="inlineStr"/>
      <c r="H11" s="7" t="inlineStr"/>
      <c r="I11" s="7" t="inlineStr"/>
      <c r="J11" s="7" t="inlineStr">
        <is>
          <t>assembly</t>
        </is>
      </c>
      <c r="K11" s="7" t="inlineStr"/>
      <c r="L11" s="7" t="inlineStr"/>
      <c r="M11" s="8" t="n">
        <v>278</v>
      </c>
      <c r="N11" s="9">
        <f>E11*M11</f>
        <v/>
      </c>
    </row>
    <row r="12">
      <c r="A12" s="7" t="n">
        <v>2</v>
      </c>
      <c r="B12" s="7" t="inlineStr">
        <is>
          <t>BRD-01-A</t>
        </is>
      </c>
      <c r="C12" s="7" t="inlineStr">
        <is>
          <t>BRD-01 zone A (one board): 8-ch DAC80508 + 8x LTC1563-2 + 8 current loops + current sense + power + E-stop</t>
        </is>
      </c>
      <c r="D12" s="7" t="inlineStr"/>
      <c r="E12" s="7" t="n">
        <v>1</v>
      </c>
      <c r="F12" s="7" t="inlineStr">
        <is>
          <t>lot</t>
        </is>
      </c>
      <c r="G12" s="7" t="inlineStr"/>
      <c r="H12" s="7" t="inlineStr"/>
      <c r="I12" s="7" t="inlineStr"/>
      <c r="J12" s="7" t="inlineStr">
        <is>
          <t>assembly</t>
        </is>
      </c>
      <c r="K12" s="7" t="inlineStr"/>
      <c r="L12" s="7" t="inlineStr"/>
      <c r="M12" s="8">
        <f>'PWR-DRV-01'!N28</f>
        <v/>
      </c>
      <c r="N12" s="9">
        <f>E12*M12</f>
        <v/>
      </c>
    </row>
    <row r="13">
      <c r="A13" s="7" t="n">
        <v>3</v>
      </c>
      <c r="B13" s="7" t="inlineStr">
        <is>
          <t>BRD-01-B</t>
        </is>
      </c>
      <c r="C13" s="7" t="inlineStr">
        <is>
          <t>BRD-01 zone B (same board): receiver front end + ADC + reference + clock</t>
        </is>
      </c>
      <c r="D13" s="7" t="inlineStr"/>
      <c r="E13" s="7" t="n">
        <v>1</v>
      </c>
      <c r="F13" s="7" t="inlineStr">
        <is>
          <t>lot</t>
        </is>
      </c>
      <c r="G13" s="7" t="inlineStr"/>
      <c r="H13" s="7" t="inlineStr"/>
      <c r="I13" s="7" t="inlineStr"/>
      <c r="J13" s="7" t="inlineStr">
        <is>
          <t>assembly</t>
        </is>
      </c>
      <c r="K13" s="7" t="inlineStr"/>
      <c r="L13" s="7" t="inlineStr"/>
      <c r="M13" s="8" t="n">
        <v>295.05</v>
      </c>
      <c r="N13" s="9">
        <f>E13*M13</f>
        <v/>
      </c>
    </row>
    <row r="14">
      <c r="A14" s="7" t="n">
        <v>4</v>
      </c>
      <c r="B14" s="7" t="inlineStr">
        <is>
          <t>BRD-01-C</t>
        </is>
      </c>
      <c r="C14" s="7" t="inlineStr">
        <is>
          <t>BRD-01 zone C (same board): FPGA + config flash + USB-UART + opto + watchdog + fan</t>
        </is>
      </c>
      <c r="D14" s="7" t="inlineStr"/>
      <c r="E14" s="7" t="n">
        <v>1</v>
      </c>
      <c r="F14" s="7" t="inlineStr">
        <is>
          <t>lot</t>
        </is>
      </c>
      <c r="G14" s="7" t="inlineStr"/>
      <c r="H14" s="7" t="inlineStr"/>
      <c r="I14" s="7" t="inlineStr"/>
      <c r="J14" s="7" t="inlineStr">
        <is>
          <t>assembly</t>
        </is>
      </c>
      <c r="K14" s="7" t="inlineStr"/>
      <c r="L14" s="7" t="inlineStr"/>
      <c r="M14" s="8" t="n">
        <v>116</v>
      </c>
      <c r="N14" s="9">
        <f>E14*M14</f>
        <v/>
      </c>
    </row>
    <row r="15">
      <c r="A15" s="7" t="n">
        <v>5</v>
      </c>
      <c r="B15" s="7" t="inlineStr">
        <is>
          <t>PEN-01</t>
        </is>
      </c>
      <c r="C15" s="7" t="inlineStr">
        <is>
          <t>Pen coil B + cable + connectors + reference</t>
        </is>
      </c>
      <c r="D15" s="7" t="inlineStr"/>
      <c r="E15" s="7" t="n">
        <v>1</v>
      </c>
      <c r="F15" s="7" t="inlineStr">
        <is>
          <t>lot</t>
        </is>
      </c>
      <c r="G15" s="7" t="inlineStr"/>
      <c r="H15" s="7" t="inlineStr"/>
      <c r="I15" s="7" t="inlineStr"/>
      <c r="J15" s="7" t="inlineStr">
        <is>
          <t>assembly</t>
        </is>
      </c>
      <c r="K15" s="7" t="inlineStr"/>
      <c r="L15" s="7" t="inlineStr"/>
      <c r="M15" s="8" t="n">
        <v>152.96</v>
      </c>
      <c r="N15" s="9">
        <f>E15*M15</f>
        <v/>
      </c>
    </row>
    <row r="16">
      <c r="A16" s="7" t="n">
        <v>6</v>
      </c>
      <c r="B16" s="7" t="inlineStr">
        <is>
          <t>PMS-01</t>
        </is>
      </c>
      <c r="C16" s="7" t="inlineStr">
        <is>
          <t>Follower XYZ stage + Pico 2 + drivers</t>
        </is>
      </c>
      <c r="D16" s="7" t="inlineStr"/>
      <c r="E16" s="7" t="n">
        <v>1</v>
      </c>
      <c r="F16" s="7" t="inlineStr">
        <is>
          <t>lot</t>
        </is>
      </c>
      <c r="G16" s="7" t="inlineStr"/>
      <c r="H16" s="7" t="inlineStr"/>
      <c r="I16" s="7" t="inlineStr"/>
      <c r="J16" s="7" t="inlineStr">
        <is>
          <t>assembly</t>
        </is>
      </c>
      <c r="K16" s="7" t="inlineStr"/>
      <c r="L16" s="7" t="inlineStr"/>
      <c r="M16" s="8" t="n">
        <v>412</v>
      </c>
      <c r="N16" s="9">
        <f>E16*M16</f>
        <v/>
      </c>
    </row>
    <row r="17">
      <c r="A17" s="7" t="n">
        <v>7</v>
      </c>
      <c r="B17" s="7" t="inlineStr">
        <is>
          <t>ENCL-01</t>
        </is>
      </c>
      <c r="C17" s="7" t="inlineStr">
        <is>
          <t>Enclosure + E-stop + camera/display + panel</t>
        </is>
      </c>
      <c r="D17" s="7" t="inlineStr"/>
      <c r="E17" s="7" t="n">
        <v>1</v>
      </c>
      <c r="F17" s="7" t="inlineStr">
        <is>
          <t>lot</t>
        </is>
      </c>
      <c r="G17" s="7" t="inlineStr"/>
      <c r="H17" s="7" t="inlineStr"/>
      <c r="I17" s="7" t="inlineStr"/>
      <c r="J17" s="7" t="inlineStr">
        <is>
          <t>assembly</t>
        </is>
      </c>
      <c r="K17" s="7" t="inlineStr"/>
      <c r="L17" s="7" t="inlineStr"/>
      <c r="M17" s="8" t="n">
        <v>415</v>
      </c>
      <c r="N17" s="9">
        <f>E17*M17</f>
        <v/>
      </c>
    </row>
    <row r="18">
      <c r="A18" s="7" t="n">
        <v>8</v>
      </c>
      <c r="B18" s="7" t="inlineStr">
        <is>
          <t>FPGA</t>
        </is>
      </c>
      <c r="C18" s="7" t="inlineStr">
        <is>
          <t>FPGA board (owned, Zynq-7020 class)</t>
        </is>
      </c>
      <c r="D18" s="7" t="inlineStr"/>
      <c r="E18" s="7" t="n">
        <v>1</v>
      </c>
      <c r="F18" s="7" t="inlineStr">
        <is>
          <t>lot</t>
        </is>
      </c>
      <c r="G18" s="7" t="inlineStr"/>
      <c r="H18" s="7" t="inlineStr"/>
      <c r="I18" s="7" t="inlineStr"/>
      <c r="J18" s="7" t="inlineStr">
        <is>
          <t>assembly</t>
        </is>
      </c>
      <c r="K18" s="7" t="inlineStr"/>
      <c r="L18" s="7" t="inlineStr"/>
      <c r="M18" s="8" t="n">
        <v>0</v>
      </c>
      <c r="N18" s="9">
        <f>E18*M18</f>
        <v/>
      </c>
    </row>
    <row r="19">
      <c r="B19" s="10" t="inlineStr">
        <is>
          <t>GRAND TOTAL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2" t="n"/>
      <c r="N19" s="13">
        <f>SUM(N11:N18)</f>
        <v/>
      </c>
    </row>
  </sheetData>
  <mergeCells count="2">
    <mergeCell ref="B19:M19"/>
    <mergeCell ref="A8:N8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90" customWidth="1" min="1" max="1"/>
    <col width="18" customWidth="1" min="2" max="2"/>
  </cols>
  <sheetData>
    <row r="1">
      <c r="A1" s="5" t="inlineStr">
        <is>
          <t>BUDGET CHECK - Phase 1 #24 (&lt;=1000 CAD per controller+follower pair)</t>
        </is>
      </c>
    </row>
    <row r="3">
      <c r="A3" s="2" t="inlineStr">
        <is>
          <t>Baseline Rev A estimate (Roll_up)</t>
        </is>
      </c>
      <c r="B3" s="14">
        <f>Roll_up!N19</f>
        <v/>
      </c>
    </row>
    <row r="4">
      <c r="A4" s="2" t="inlineStr">
        <is>
          <t>Phase 1 cap</t>
        </is>
      </c>
      <c r="B4" t="n">
        <v>1000</v>
      </c>
    </row>
    <row r="5">
      <c r="A5" s="2" t="inlineStr">
        <is>
          <t>Variance (estimate - cap)</t>
        </is>
      </c>
      <c r="B5" s="14">
        <f>B3-B4</f>
        <v/>
      </c>
    </row>
    <row r="6">
      <c r="A6" s="2" t="inlineStr">
        <is>
          <t>Variance ratio</t>
        </is>
      </c>
      <c r="B6" s="14">
        <f>B3/B4</f>
        <v/>
      </c>
    </row>
    <row r="8">
      <c r="A8" s="2" t="inlineStr">
        <is>
          <t>COST-REDUCTION OPTIONS (not in baseline)</t>
        </is>
      </c>
    </row>
    <row r="9">
      <c r="A9" s="2" t="inlineStr">
        <is>
          <t>DAC80508 + LTC1563-2 is now the baseline (no incremental saving)</t>
        </is>
      </c>
      <c r="B9" t="n">
        <v>0</v>
      </c>
    </row>
    <row r="10">
      <c r="A10" s="2" t="inlineStr">
        <is>
          <t>Use 8 build qty, no DAC/LMH/INA/ADA spares</t>
        </is>
      </c>
      <c r="B10" t="n">
        <v>-150</v>
      </c>
    </row>
    <row r="11">
      <c r="A11" s="2" t="inlineStr">
        <is>
          <t>One AD7768-4 (no spare)</t>
        </is>
      </c>
      <c r="B11" t="n">
        <v>-49.65</v>
      </c>
    </row>
    <row r="12">
      <c r="A12" s="2" t="inlineStr">
        <is>
          <t>One FG PCB (no spare)</t>
        </is>
      </c>
      <c r="B12" t="n">
        <v>-95</v>
      </c>
    </row>
    <row r="13">
      <c r="A13" s="2" t="inlineStr">
        <is>
          <t>Use lab camera/monitor instead of buying</t>
        </is>
      </c>
      <c r="B13" t="n">
        <v>-135</v>
      </c>
    </row>
    <row r="14">
      <c r="A14" s="2" t="inlineStr">
        <is>
          <t>Cheaper enclosure (no custom 400x300x150)</t>
        </is>
      </c>
      <c r="B14" t="n">
        <v>-60</v>
      </c>
    </row>
    <row r="15">
      <c r="A15" s="2" t="inlineStr">
        <is>
          <t>Cheaper PMS kit / reuse lab stage</t>
        </is>
      </c>
      <c r="B15" t="n">
        <v>-160</v>
      </c>
    </row>
    <row r="16">
      <c r="A16" s="2" t="inlineStr">
        <is>
          <t>Reduce passives estimate</t>
        </is>
      </c>
      <c r="B16" t="n">
        <v>-65</v>
      </c>
    </row>
    <row r="18">
      <c r="A18" s="2" t="inlineStr">
        <is>
          <t>Trimmed estimate (all options)</t>
        </is>
      </c>
      <c r="B18" s="14">
        <f>B3+SUM(B9:B16)</f>
        <v/>
      </c>
    </row>
    <row r="19">
      <c r="A19" s="2" t="inlineStr">
        <is>
          <t>Still above cap?</t>
        </is>
      </c>
      <c r="B19" s="14">
        <f>IF(B18&gt;B4,"YES - document deviation or trim scope","NO - within cap")</f>
        <v/>
      </c>
    </row>
    <row r="21">
      <c r="A21" s="2" t="inlineStr">
        <is>
          <t>NOTES</t>
        </is>
      </c>
    </row>
    <row r="22">
      <c r="A22" s="2" t="inlineStr">
        <is>
          <t>M16 baseline selected 2026-10-27: DAC80508 + 8x LTC1563-2. The baseline already includes the M16 DAC/filter; the old AD5541A option is gone.</t>
        </is>
      </c>
    </row>
    <row r="23">
      <c r="A23" s="2" t="inlineStr">
        <is>
          <t>The follower XYZ stage is a demo test-bed, not the product, but Phase 1 #24 counts the controller+follower pair. Confirm the budget interpretation with the team.</t>
        </is>
      </c>
    </row>
    <row r="24">
      <c r="A24" s="2" t="inlineStr">
        <is>
          <t>FPGA is on BRD-01 (XC7A35T-1FTG256C, ~$70 CAD). The old owned-dev-board assumption is gone; no Zynq/DDR3 board is bought.</t>
        </is>
      </c>
    </row>
    <row r="25">
      <c r="A25" s="2" t="inlineStr">
        <is>
          <t>Spares: Newsboy rule. AD5541A p* = 21.14/(8+21.14) = 72%; if burn risk &lt;72%, no spare. The baseline buys 10 for 8 channels.</t>
        </is>
      </c>
    </row>
    <row r="26">
      <c r="A26" t="inlineStr">
        <is>
          <t>Controller-only check (exclude PMS-01 and ENCL-01)</t>
        </is>
      </c>
      <c r="B26" s="14">
        <f>Roll_up!N11+Roll_up!N12+Roll_up!N13+Roll_up!N14+Roll_up!N15</f>
        <v/>
      </c>
    </row>
    <row r="27">
      <c r="A27" t="inlineStr">
        <is>
          <t>Controller-only trimmed (M16 baseline; no spares + 1 ADC + 1 FG PCB + passives)</t>
        </is>
      </c>
      <c r="B27" s="14">
        <f>B26+B9+B10+B11+B12+B16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zoomScale="85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52" customWidth="1" min="3" max="3"/>
    <col width="16" customWidth="1" min="4" max="4"/>
    <col width="7" customWidth="1" min="5" max="5"/>
    <col width="7" customWidth="1" min="6" max="6"/>
    <col width="18" customWidth="1" min="7" max="7"/>
    <col width="26" customWidth="1" min="8" max="8"/>
    <col width="16" customWidth="1" min="9" max="9"/>
    <col width="12" customWidth="1" min="10" max="10"/>
    <col width="16" customWidth="1" min="11" max="11"/>
    <col width="26" customWidth="1" min="12" max="12"/>
    <col width="11" customWidth="1" min="13" max="13"/>
    <col width="12" customWidth="1" min="14" max="14"/>
  </cols>
  <sheetData>
    <row r="1">
      <c r="A1" s="4" t="inlineStr">
        <is>
          <t>Company:</t>
        </is>
      </c>
      <c r="B1" t="inlineStr">
        <is>
          <t>Concordia University, Department of Electrical and Computer Engineering</t>
        </is>
      </c>
    </row>
    <row r="2">
      <c r="A2" s="4" t="inlineStr">
        <is>
          <t>Project:</t>
        </is>
      </c>
      <c r="B2" t="inlineStr">
        <is>
          <t>EM AccuBot - Team 25 (ELEC/COEN 490)</t>
        </is>
      </c>
    </row>
    <row r="3">
      <c r="A3" s="4" t="inlineStr">
        <is>
          <t>Design ref.:</t>
        </is>
      </c>
      <c r="B3" t="inlineStr">
        <is>
          <t>FG-01 - 8-coil field generator</t>
        </is>
      </c>
    </row>
    <row r="4">
      <c r="A4" s="4" t="inlineStr">
        <is>
          <t>Prepared by:</t>
        </is>
      </c>
      <c r="B4" t="inlineStr">
        <is>
          <t>Team 25 / design review</t>
        </is>
      </c>
    </row>
    <row r="5">
      <c r="A5" s="4" t="inlineStr">
        <is>
          <t>Rev.#</t>
        </is>
      </c>
      <c r="B5" t="inlineStr">
        <is>
          <t>0.01</t>
        </is>
      </c>
      <c r="C5" t="inlineStr">
        <is>
          <t>Date:</t>
        </is>
      </c>
      <c r="D5" t="inlineStr">
        <is>
          <t>2026-10-27</t>
        </is>
      </c>
    </row>
    <row r="6">
      <c r="A6" s="4" t="inlineStr">
        <is>
          <t>Approved by:</t>
        </is>
      </c>
      <c r="B6" t="inlineStr">
        <is>
          <t>(sign before order)</t>
        </is>
      </c>
    </row>
    <row r="8">
      <c r="A8" s="5" t="inlineStr">
        <is>
          <t>BOM - FG-01 - 8-coil field generator (Rev A, estimates; re-quote at order)</t>
        </is>
      </c>
    </row>
    <row r="10">
      <c r="A10" s="6" t="inlineStr">
        <is>
          <t>Item #</t>
        </is>
      </c>
      <c r="B10" s="6" t="inlineStr">
        <is>
          <t>Design Reference #</t>
        </is>
      </c>
      <c r="C10" s="6" t="inlineStr">
        <is>
          <t>Description</t>
        </is>
      </c>
      <c r="D10" s="6" t="inlineStr">
        <is>
          <t>Value</t>
        </is>
      </c>
      <c r="E10" s="6" t="inlineStr">
        <is>
          <t>QTY</t>
        </is>
      </c>
      <c r="F10" s="6" t="inlineStr">
        <is>
          <t>Unit</t>
        </is>
      </c>
      <c r="G10" s="6" t="inlineStr">
        <is>
          <t>Manufacturer</t>
        </is>
      </c>
      <c r="H10" s="6" t="inlineStr">
        <is>
          <t>Manufacturer Part#</t>
        </is>
      </c>
      <c r="I10" s="6" t="inlineStr">
        <is>
          <t>Package</t>
        </is>
      </c>
      <c r="J10" s="6" t="inlineStr">
        <is>
          <t>Type</t>
        </is>
      </c>
      <c r="K10" s="6" t="inlineStr">
        <is>
          <t>Supplier</t>
        </is>
      </c>
      <c r="L10" s="6" t="inlineStr">
        <is>
          <t>Supplier P/N</t>
        </is>
      </c>
      <c r="M10" s="6" t="inlineStr">
        <is>
          <t>Price (CAD)</t>
        </is>
      </c>
      <c r="N10" s="6" t="inlineStr">
        <is>
          <t>Ext.price (CAD)</t>
        </is>
      </c>
    </row>
    <row r="11">
      <c r="A11" s="15" t="n">
        <v>1</v>
      </c>
      <c r="B11" s="7" t="inlineStr">
        <is>
          <t>PCB</t>
        </is>
      </c>
      <c r="C11" s="7" t="inlineStr">
        <is>
          <t>8-coil field generator PCB, 300x300 mm, 2-layer, 1.6 mm, 1 oz, ENIG, 25 turns, 0.5/0.25 mm</t>
        </is>
      </c>
      <c r="D11" s="7" t="inlineStr">
        <is>
          <t>300x300 mm</t>
        </is>
      </c>
      <c r="E11" s="15" t="n">
        <v>2</v>
      </c>
      <c r="F11" s="15" t="inlineStr">
        <is>
          <t>pcs</t>
        </is>
      </c>
      <c r="G11" s="7" t="inlineStr">
        <is>
          <t>JLCPCB</t>
        </is>
      </c>
      <c r="H11" s="7" t="inlineStr">
        <is>
          <t>FG-8COIL-300X300-2L</t>
        </is>
      </c>
      <c r="I11" s="7" t="inlineStr">
        <is>
          <t>PCB</t>
        </is>
      </c>
      <c r="J11" s="7" t="inlineStr">
        <is>
          <t>PCB-fab</t>
        </is>
      </c>
      <c r="K11" s="7" t="inlineStr">
        <is>
          <t>JLCPCB</t>
        </is>
      </c>
      <c r="L11" s="7" t="inlineStr">
        <is>
          <t>quote at order</t>
        </is>
      </c>
      <c r="M11" s="8" t="n">
        <v>95</v>
      </c>
      <c r="N11" s="9">
        <f>E11*M11</f>
        <v/>
      </c>
    </row>
    <row r="12">
      <c r="A12" s="15" t="n">
        <v>2</v>
      </c>
      <c r="B12" s="7" t="inlineStr">
        <is>
          <t>J1-J8</t>
        </is>
      </c>
      <c r="C12" s="7" t="inlineStr">
        <is>
          <t>2-pin 3 A keyed board connector, 4.2 mm pitch</t>
        </is>
      </c>
      <c r="D12" s="7" t="inlineStr">
        <is>
          <t>Mini-Fit Jr</t>
        </is>
      </c>
      <c r="E12" s="15" t="n">
        <v>8</v>
      </c>
      <c r="F12" s="15" t="inlineStr">
        <is>
          <t>pcs</t>
        </is>
      </c>
      <c r="G12" s="7" t="inlineStr">
        <is>
          <t>Molex</t>
        </is>
      </c>
      <c r="H12" s="7" t="inlineStr">
        <is>
          <t>39-30-1020</t>
        </is>
      </c>
      <c r="I12" s="7" t="inlineStr">
        <is>
          <t>TH</t>
        </is>
      </c>
      <c r="J12" s="7" t="inlineStr">
        <is>
          <t>connector</t>
        </is>
      </c>
      <c r="K12" s="7" t="inlineStr">
        <is>
          <t>Digi-Key</t>
        </is>
      </c>
      <c r="L12" s="7" t="inlineStr">
        <is>
          <t>WM3800-ND</t>
        </is>
      </c>
      <c r="M12" s="8" t="n">
        <v>2.5</v>
      </c>
      <c r="N12" s="9">
        <f>E12*M12</f>
        <v/>
      </c>
    </row>
    <row r="13">
      <c r="A13" s="15" t="n">
        <v>3</v>
      </c>
      <c r="B13" s="7" t="inlineStr">
        <is>
          <t>W1-W8</t>
        </is>
      </c>
      <c r="C13" s="7" t="inlineStr">
        <is>
          <t>Twisted-pair coil cable, 0.5 m, 20 AWG, shielded</t>
        </is>
      </c>
      <c r="D13" s="7" t="inlineStr">
        <is>
          <t>0.5 m</t>
        </is>
      </c>
      <c r="E13" s="15" t="n">
        <v>8</v>
      </c>
      <c r="F13" s="15" t="inlineStr">
        <is>
          <t>pcs</t>
        </is>
      </c>
      <c r="G13" s="7" t="inlineStr">
        <is>
          <t>Belden</t>
        </is>
      </c>
      <c r="H13" s="7" t="inlineStr">
        <is>
          <t>9501</t>
        </is>
      </c>
      <c r="I13" s="7" t="inlineStr">
        <is>
          <t>bulk</t>
        </is>
      </c>
      <c r="J13" s="7" t="inlineStr">
        <is>
          <t>cable</t>
        </is>
      </c>
      <c r="K13" s="7" t="inlineStr">
        <is>
          <t>Digi-Key</t>
        </is>
      </c>
      <c r="L13" s="7" t="inlineStr">
        <is>
          <t>BEL1454-100-ND</t>
        </is>
      </c>
      <c r="M13" s="8" t="n">
        <v>3.5</v>
      </c>
      <c r="N13" s="9">
        <f>E13*M13</f>
        <v/>
      </c>
    </row>
    <row r="14">
      <c r="A14" s="15" t="n">
        <v>4</v>
      </c>
      <c r="B14" s="7" t="inlineStr">
        <is>
          <t>GUARD</t>
        </is>
      </c>
      <c r="C14" s="7" t="inlineStr">
        <is>
          <t>Non-metal ICNIRP guard, open-top ring at ~57 mm contour</t>
        </is>
      </c>
      <c r="D14" s="7" t="inlineStr">
        <is>
          <t>57 mm</t>
        </is>
      </c>
      <c r="E14" s="15" t="n">
        <v>1</v>
      </c>
      <c r="F14" s="15" t="inlineStr">
        <is>
          <t>pcs</t>
        </is>
      </c>
      <c r="G14" s="7" t="inlineStr">
        <is>
          <t>custom</t>
        </is>
      </c>
      <c r="H14" s="7" t="inlineStr">
        <is>
          <t>GUARD-57MM</t>
        </is>
      </c>
      <c r="I14" s="7" t="inlineStr">
        <is>
          <t>mech</t>
        </is>
      </c>
      <c r="J14" s="7" t="inlineStr">
        <is>
          <t>mech</t>
        </is>
      </c>
      <c r="K14" s="7" t="inlineStr">
        <is>
          <t>in-house</t>
        </is>
      </c>
      <c r="L14" s="7" t="inlineStr">
        <is>
          <t>3D print/acrylic</t>
        </is>
      </c>
      <c r="M14" s="8" t="n">
        <v>30</v>
      </c>
      <c r="N14" s="9">
        <f>E14*M14</f>
        <v/>
      </c>
    </row>
    <row r="15">
      <c r="A15" s="15" t="n">
        <v>5</v>
      </c>
      <c r="B15" s="7" t="inlineStr">
        <is>
          <t>FAST</t>
        </is>
      </c>
      <c r="C15" s="7" t="inlineStr">
        <is>
          <t>Plastic fasteners/standoffs, M3</t>
        </is>
      </c>
      <c r="D15" s="7" t="inlineStr">
        <is>
          <t>M3</t>
        </is>
      </c>
      <c r="E15" s="15" t="n">
        <v>1</v>
      </c>
      <c r="F15" s="15" t="inlineStr">
        <is>
          <t>lot</t>
        </is>
      </c>
      <c r="G15" s="7" t="inlineStr">
        <is>
          <t>custom</t>
        </is>
      </c>
      <c r="H15" s="7" t="inlineStr">
        <is>
          <t>M3-PLASTIC</t>
        </is>
      </c>
      <c r="I15" s="7" t="inlineStr">
        <is>
          <t>mech</t>
        </is>
      </c>
      <c r="J15" s="7" t="inlineStr">
        <is>
          <t>mech</t>
        </is>
      </c>
      <c r="K15" s="7" t="inlineStr">
        <is>
          <t>in-house</t>
        </is>
      </c>
      <c r="L15" s="7" t="inlineStr">
        <is>
          <t>stock</t>
        </is>
      </c>
      <c r="M15" s="8" t="n">
        <v>10</v>
      </c>
      <c r="N15" s="9">
        <f>E15*M15</f>
        <v/>
      </c>
    </row>
    <row r="16">
      <c r="A16" s="16" t="inlineStr"/>
      <c r="B16" s="10" t="inlineStr">
        <is>
          <t>TOTAL FG-01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2" t="n"/>
      <c r="N16" s="13">
        <f>SUM(N11:N15)</f>
        <v/>
      </c>
    </row>
  </sheetData>
  <mergeCells count="2">
    <mergeCell ref="B16:M16"/>
    <mergeCell ref="A8:N8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zoomScale="85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52" customWidth="1" min="3" max="3"/>
    <col width="16" customWidth="1" min="4" max="4"/>
    <col width="7" customWidth="1" min="5" max="5"/>
    <col width="7" customWidth="1" min="6" max="6"/>
    <col width="18" customWidth="1" min="7" max="7"/>
    <col width="26" customWidth="1" min="8" max="8"/>
    <col width="16" customWidth="1" min="9" max="9"/>
    <col width="12" customWidth="1" min="10" max="10"/>
    <col width="16" customWidth="1" min="11" max="11"/>
    <col width="26" customWidth="1" min="12" max="12"/>
    <col width="11" customWidth="1" min="13" max="13"/>
    <col width="12" customWidth="1" min="14" max="14"/>
  </cols>
  <sheetData>
    <row r="1">
      <c r="A1" s="4" t="inlineStr">
        <is>
          <t>Company:</t>
        </is>
      </c>
      <c r="B1" t="inlineStr">
        <is>
          <t>Concordia University, Department of Electrical and Computer Engineering</t>
        </is>
      </c>
    </row>
    <row r="2">
      <c r="A2" s="4" t="inlineStr">
        <is>
          <t>Project:</t>
        </is>
      </c>
      <c r="B2" t="inlineStr">
        <is>
          <t>EM AccuBot - Team 25 (ELEC/COEN 490)</t>
        </is>
      </c>
    </row>
    <row r="3">
      <c r="A3" s="4" t="inlineStr">
        <is>
          <t>Design ref.:</t>
        </is>
      </c>
      <c r="B3" t="inlineStr">
        <is>
          <t>PWR-DRV-01 - driver + DAC + power</t>
        </is>
      </c>
    </row>
    <row r="4">
      <c r="A4" s="4" t="inlineStr">
        <is>
          <t>Prepared by:</t>
        </is>
      </c>
      <c r="B4" t="inlineStr">
        <is>
          <t>Team 25 / design review</t>
        </is>
      </c>
    </row>
    <row r="5">
      <c r="A5" s="4" t="inlineStr">
        <is>
          <t>Rev.#</t>
        </is>
      </c>
      <c r="B5" t="inlineStr">
        <is>
          <t>0.01</t>
        </is>
      </c>
      <c r="C5" t="inlineStr">
        <is>
          <t>Date:</t>
        </is>
      </c>
      <c r="D5" t="inlineStr">
        <is>
          <t>2026-10-27</t>
        </is>
      </c>
    </row>
    <row r="6">
      <c r="A6" s="4" t="inlineStr">
        <is>
          <t>Approved by:</t>
        </is>
      </c>
      <c r="B6" t="inlineStr">
        <is>
          <t>(sign before order)</t>
        </is>
      </c>
    </row>
    <row r="8">
      <c r="A8" s="5" t="inlineStr">
        <is>
          <t>BOM - PWR-DRV-01 - M16 DAC80508 + LTC1563-2 + driver + power (Rev 0.02, estimates; re-quote at order)</t>
        </is>
      </c>
    </row>
    <row r="10">
      <c r="A10" s="6" t="inlineStr">
        <is>
          <t>Item #</t>
        </is>
      </c>
      <c r="B10" s="6" t="inlineStr">
        <is>
          <t>Design Reference #</t>
        </is>
      </c>
      <c r="C10" s="6" t="inlineStr">
        <is>
          <t>Description</t>
        </is>
      </c>
      <c r="D10" s="6" t="inlineStr">
        <is>
          <t>Value</t>
        </is>
      </c>
      <c r="E10" s="6" t="inlineStr">
        <is>
          <t>QTY</t>
        </is>
      </c>
      <c r="F10" s="6" t="inlineStr">
        <is>
          <t>Unit</t>
        </is>
      </c>
      <c r="G10" s="6" t="inlineStr">
        <is>
          <t>Manufacturer</t>
        </is>
      </c>
      <c r="H10" s="6" t="inlineStr">
        <is>
          <t>Manufacturer Part#</t>
        </is>
      </c>
      <c r="I10" s="6" t="inlineStr">
        <is>
          <t>Package</t>
        </is>
      </c>
      <c r="J10" s="6" t="inlineStr">
        <is>
          <t>Type</t>
        </is>
      </c>
      <c r="K10" s="6" t="inlineStr">
        <is>
          <t>Supplier</t>
        </is>
      </c>
      <c r="L10" s="6" t="inlineStr">
        <is>
          <t>Supplier P/N</t>
        </is>
      </c>
      <c r="M10" s="6" t="inlineStr">
        <is>
          <t>Price (CAD)</t>
        </is>
      </c>
      <c r="N10" s="6" t="inlineStr">
        <is>
          <t>Ext.price (CAD)</t>
        </is>
      </c>
    </row>
    <row r="11">
      <c r="A11" s="15" t="n">
        <v>1</v>
      </c>
      <c r="B11" s="7" t="inlineStr">
        <is>
          <t>PCB</t>
        </is>
      </c>
      <c r="C11" s="7" t="inlineStr">
        <is>
          <t>4-layer BRD-01 PCB, 250x200 mm (zones A-C), 1.6 mm, ENIG</t>
        </is>
      </c>
      <c r="D11" s="7" t="inlineStr">
        <is>
          <t>250x200 mm</t>
        </is>
      </c>
      <c r="E11" s="15" t="n">
        <v>5</v>
      </c>
      <c r="F11" s="15" t="inlineStr">
        <is>
          <t>pcs</t>
        </is>
      </c>
      <c r="G11" s="7" t="inlineStr">
        <is>
          <t>JLCPCB</t>
        </is>
      </c>
      <c r="H11" s="7" t="inlineStr">
        <is>
          <t>PWR-DRV-200X150-4L</t>
        </is>
      </c>
      <c r="I11" s="7" t="inlineStr">
        <is>
          <t>PCB</t>
        </is>
      </c>
      <c r="J11" s="7" t="inlineStr">
        <is>
          <t>PCB-fab</t>
        </is>
      </c>
      <c r="K11" s="7" t="inlineStr">
        <is>
          <t>JLCPCB</t>
        </is>
      </c>
      <c r="L11" s="7" t="inlineStr">
        <is>
          <t>quote at order</t>
        </is>
      </c>
      <c r="M11" s="8" t="n">
        <v>25</v>
      </c>
      <c r="N11" s="9">
        <f>E11*M11</f>
        <v/>
      </c>
    </row>
    <row r="12">
      <c r="A12" s="15" t="n">
        <v>2</v>
      </c>
      <c r="B12" s="7" t="inlineStr">
        <is>
          <t>U10,U10S</t>
        </is>
      </c>
      <c r="C12" s="7" t="inlineStr">
        <is>
          <t>16-bit 8-channel SPI DAC, 200 kSPS (build + spare)</t>
        </is>
      </c>
      <c r="D12" s="7" t="inlineStr">
        <is>
          <t>DAC80508</t>
        </is>
      </c>
      <c r="E12" s="15" t="n">
        <v>2</v>
      </c>
      <c r="F12" s="15" t="inlineStr">
        <is>
          <t>pcs</t>
        </is>
      </c>
      <c r="G12" s="7" t="inlineStr">
        <is>
          <t>Texas Instruments</t>
        </is>
      </c>
      <c r="H12" s="7" t="inlineStr">
        <is>
          <t>DAC80508MRTET</t>
        </is>
      </c>
      <c r="I12" s="7" t="inlineStr">
        <is>
          <t>WQFN-16</t>
        </is>
      </c>
      <c r="J12" s="7" t="inlineStr">
        <is>
          <t>IC-DAC</t>
        </is>
      </c>
      <c r="K12" s="7" t="inlineStr">
        <is>
          <t>Digi-Key</t>
        </is>
      </c>
      <c r="L12" s="7" t="inlineStr">
        <is>
          <t>296-DAC80508MRTETCT-ND</t>
        </is>
      </c>
      <c r="M12" s="8" t="n">
        <v>42.52</v>
      </c>
      <c r="N12" s="9">
        <f>E12*M12</f>
        <v/>
      </c>
    </row>
    <row r="13">
      <c r="A13" s="15" t="n">
        <v>3</v>
      </c>
      <c r="B13" s="7" t="inlineStr">
        <is>
          <t>U30-U37</t>
        </is>
      </c>
      <c r="C13" s="7" t="inlineStr">
        <is>
          <t>Precision op-amp, current-loop error amp / summer / reference buffer</t>
        </is>
      </c>
      <c r="D13" s="7" t="inlineStr">
        <is>
          <t>OPA192</t>
        </is>
      </c>
      <c r="E13" s="15" t="n">
        <v>10</v>
      </c>
      <c r="F13" s="15" t="inlineStr">
        <is>
          <t>pcs</t>
        </is>
      </c>
      <c r="G13" s="7" t="inlineStr">
        <is>
          <t>Texas Instruments</t>
        </is>
      </c>
      <c r="H13" s="7" t="inlineStr">
        <is>
          <t>OPA192IDR</t>
        </is>
      </c>
      <c r="I13" s="7" t="inlineStr">
        <is>
          <t>SOIC-8</t>
        </is>
      </c>
      <c r="J13" s="7" t="inlineStr">
        <is>
          <t>IC-opamp</t>
        </is>
      </c>
      <c r="K13" s="7" t="inlineStr">
        <is>
          <t>Digi-Key</t>
        </is>
      </c>
      <c r="L13" s="7" t="inlineStr">
        <is>
          <t>296-37238-1-ND</t>
        </is>
      </c>
      <c r="M13" s="8" t="n">
        <v>4.12</v>
      </c>
      <c r="N13" s="9">
        <f>E13*M13</f>
        <v/>
      </c>
    </row>
    <row r="14">
      <c r="A14" s="15" t="n">
        <v>4</v>
      </c>
      <c r="B14" s="7" t="inlineStr">
        <is>
          <t>U40-U45</t>
        </is>
      </c>
      <c r="C14" s="7" t="inlineStr">
        <is>
          <t>Dual precision op-amp, current-sense buffers</t>
        </is>
      </c>
      <c r="D14" s="7" t="inlineStr">
        <is>
          <t>OPA2192</t>
        </is>
      </c>
      <c r="E14" s="15" t="n">
        <v>6</v>
      </c>
      <c r="F14" s="15" t="inlineStr">
        <is>
          <t>pcs</t>
        </is>
      </c>
      <c r="G14" s="7" t="inlineStr">
        <is>
          <t>Texas Instruments</t>
        </is>
      </c>
      <c r="H14" s="7" t="inlineStr">
        <is>
          <t>OPA2192IDR</t>
        </is>
      </c>
      <c r="I14" s="7" t="inlineStr">
        <is>
          <t>SOIC-8</t>
        </is>
      </c>
      <c r="J14" s="7" t="inlineStr">
        <is>
          <t>IC-opamp</t>
        </is>
      </c>
      <c r="K14" s="7" t="inlineStr">
        <is>
          <t>Digi-Key</t>
        </is>
      </c>
      <c r="L14" s="7" t="inlineStr">
        <is>
          <t>296-OPA2192IDR-ND</t>
        </is>
      </c>
      <c r="M14" s="8" t="n">
        <v>7.14</v>
      </c>
      <c r="N14" s="9">
        <f>E14*M14</f>
        <v/>
      </c>
    </row>
    <row r="15">
      <c r="A15" s="15" t="n">
        <v>5</v>
      </c>
      <c r="B15" s="7" t="inlineStr">
        <is>
          <t>U20-U27</t>
        </is>
      </c>
      <c r="C15" s="7" t="inlineStr">
        <is>
          <t>300 mA high-speed buffer, constant-current output (8 + 2 spares)</t>
        </is>
      </c>
      <c r="D15" s="7" t="inlineStr">
        <is>
          <t>LMH6321</t>
        </is>
      </c>
      <c r="E15" s="15" t="n">
        <v>10</v>
      </c>
      <c r="F15" s="15" t="inlineStr">
        <is>
          <t>pcs</t>
        </is>
      </c>
      <c r="G15" s="7" t="inlineStr">
        <is>
          <t>Texas Instruments</t>
        </is>
      </c>
      <c r="H15" s="7" t="inlineStr">
        <is>
          <t>LMH6321MR/NOPB</t>
        </is>
      </c>
      <c r="I15" s="7" t="inlineStr">
        <is>
          <t>SO-PowerPAD-8</t>
        </is>
      </c>
      <c r="J15" s="7" t="inlineStr">
        <is>
          <t>IC-buffer</t>
        </is>
      </c>
      <c r="K15" s="7" t="inlineStr">
        <is>
          <t>Digi-Key</t>
        </is>
      </c>
      <c r="L15" s="7" t="inlineStr">
        <is>
          <t>LMH6321MR/NOPB-ND</t>
        </is>
      </c>
      <c r="M15" s="8" t="n">
        <v>7.18</v>
      </c>
      <c r="N15" s="9">
        <f>E15*M15</f>
        <v/>
      </c>
    </row>
    <row r="16">
      <c r="A16" s="15" t="n">
        <v>6</v>
      </c>
      <c r="B16" s="7" t="inlineStr">
        <is>
          <t>U50</t>
        </is>
      </c>
      <c r="C16" s="7" t="inlineStr">
        <is>
          <t>4.096 V XFET voltage reference, 0.04%</t>
        </is>
      </c>
      <c r="D16" s="7" t="inlineStr">
        <is>
          <t>ADR434</t>
        </is>
      </c>
      <c r="E16" s="15" t="n">
        <v>1</v>
      </c>
      <c r="F16" s="15" t="inlineStr">
        <is>
          <t>pcs</t>
        </is>
      </c>
      <c r="G16" s="7" t="inlineStr">
        <is>
          <t>Analog Devices</t>
        </is>
      </c>
      <c r="H16" s="7" t="inlineStr">
        <is>
          <t>ADR434BRZ</t>
        </is>
      </c>
      <c r="I16" s="7" t="inlineStr">
        <is>
          <t>SOIC-8</t>
        </is>
      </c>
      <c r="J16" s="7" t="inlineStr">
        <is>
          <t>IC-VREF</t>
        </is>
      </c>
      <c r="K16" s="7" t="inlineStr">
        <is>
          <t>Digi-Key</t>
        </is>
      </c>
      <c r="L16" s="7" t="inlineStr">
        <is>
          <t>ADR434BRZ-ND</t>
        </is>
      </c>
      <c r="M16" s="8" t="n">
        <v>23.01</v>
      </c>
      <c r="N16" s="9">
        <f>E16*M16</f>
        <v/>
      </c>
    </row>
    <row r="17">
      <c r="A17" s="15" t="n">
        <v>7</v>
      </c>
      <c r="B17" s="7" t="inlineStr">
        <is>
          <t>U60-U67</t>
        </is>
      </c>
      <c r="C17" s="7" t="inlineStr">
        <is>
          <t>Rail-to-rail comparator, per-coil overcurrent</t>
        </is>
      </c>
      <c r="D17" s="7" t="inlineStr">
        <is>
          <t>TLV3201</t>
        </is>
      </c>
      <c r="E17" s="15" t="n">
        <v>10</v>
      </c>
      <c r="F17" s="15" t="inlineStr">
        <is>
          <t>pcs</t>
        </is>
      </c>
      <c r="G17" s="7" t="inlineStr">
        <is>
          <t>Texas Instruments</t>
        </is>
      </c>
      <c r="H17" s="7" t="inlineStr">
        <is>
          <t>TLV3201AIDBVR</t>
        </is>
      </c>
      <c r="I17" s="7" t="inlineStr">
        <is>
          <t>SOT-23-5</t>
        </is>
      </c>
      <c r="J17" s="7" t="inlineStr">
        <is>
          <t>IC-comp</t>
        </is>
      </c>
      <c r="K17" s="7" t="inlineStr">
        <is>
          <t>Digi-Key</t>
        </is>
      </c>
      <c r="L17" s="7" t="inlineStr">
        <is>
          <t>296-TLV3201AIDBVRCT-ND</t>
        </is>
      </c>
      <c r="M17" s="8" t="n">
        <v>1.5</v>
      </c>
      <c r="N17" s="9">
        <f>E17*M17</f>
        <v/>
      </c>
    </row>
    <row r="18">
      <c r="A18" s="15" t="n">
        <v>8</v>
      </c>
      <c r="B18" s="7" t="inlineStr">
        <is>
          <t>R20-R27</t>
        </is>
      </c>
      <c r="C18" s="7" t="inlineStr">
        <is>
          <t>Current-sense resistor 1.00 ohm 0.1% 0.5 W</t>
        </is>
      </c>
      <c r="D18" s="7" t="inlineStr">
        <is>
          <t>1.00 R</t>
        </is>
      </c>
      <c r="E18" s="15" t="n">
        <v>10</v>
      </c>
      <c r="F18" s="15" t="inlineStr">
        <is>
          <t>pcs</t>
        </is>
      </c>
      <c r="G18" s="7" t="inlineStr">
        <is>
          <t>Vishay</t>
        </is>
      </c>
      <c r="H18" s="7" t="inlineStr">
        <is>
          <t>Y14531R00000B9L</t>
        </is>
      </c>
      <c r="I18" s="7" t="inlineStr">
        <is>
          <t>axial</t>
        </is>
      </c>
      <c r="J18" s="7" t="inlineStr">
        <is>
          <t>resistor</t>
        </is>
      </c>
      <c r="K18" s="7" t="inlineStr">
        <is>
          <t>Digi-Key</t>
        </is>
      </c>
      <c r="L18" s="7" t="inlineStr">
        <is>
          <t>Y14531R00000B9L-ND</t>
        </is>
      </c>
      <c r="M18" s="8" t="n">
        <v>1.5</v>
      </c>
      <c r="N18" s="9">
        <f>E18*M18</f>
        <v/>
      </c>
    </row>
    <row r="19">
      <c r="A19" s="15" t="n">
        <v>9</v>
      </c>
      <c r="B19" s="7" t="inlineStr">
        <is>
          <t>C20-C27</t>
        </is>
      </c>
      <c r="C19" s="7" t="inlineStr">
        <is>
          <t>AC coupling capacitor 100 uF 25 V film</t>
        </is>
      </c>
      <c r="D19" s="7" t="inlineStr">
        <is>
          <t>100 uF</t>
        </is>
      </c>
      <c r="E19" s="15" t="n">
        <v>10</v>
      </c>
      <c r="F19" s="15" t="inlineStr">
        <is>
          <t>pcs</t>
        </is>
      </c>
      <c r="G19" s="7" t="inlineStr">
        <is>
          <t>KEMET</t>
        </is>
      </c>
      <c r="H19" s="7" t="inlineStr">
        <is>
          <t>R60PN1100AA30J</t>
        </is>
      </c>
      <c r="I19" s="7" t="inlineStr">
        <is>
          <t>radial</t>
        </is>
      </c>
      <c r="J19" s="7" t="inlineStr">
        <is>
          <t>capacitor</t>
        </is>
      </c>
      <c r="K19" s="7" t="inlineStr">
        <is>
          <t>Digi-Key</t>
        </is>
      </c>
      <c r="L19" s="7" t="inlineStr">
        <is>
          <t>399-R60PN1100AA30J-ND</t>
        </is>
      </c>
      <c r="M19" s="8" t="n">
        <v>1.5</v>
      </c>
      <c r="N19" s="9">
        <f>E19*M19</f>
        <v/>
      </c>
    </row>
    <row r="20">
      <c r="A20" s="15" t="n">
        <v>10</v>
      </c>
      <c r="B20" s="7" t="inlineStr">
        <is>
          <t>C30-C31</t>
        </is>
      </c>
      <c r="C20" s="7" t="inlineStr">
        <is>
          <t>Mid-rail reservoir 1000 uF 25 V</t>
        </is>
      </c>
      <c r="D20" s="7" t="inlineStr">
        <is>
          <t>1000 uF</t>
        </is>
      </c>
      <c r="E20" s="15" t="n">
        <v>2</v>
      </c>
      <c r="F20" s="15" t="inlineStr">
        <is>
          <t>pcs</t>
        </is>
      </c>
      <c r="G20" s="7" t="inlineStr">
        <is>
          <t>Nichicon</t>
        </is>
      </c>
      <c r="H20" s="7" t="inlineStr">
        <is>
          <t>UHE1E102MHD</t>
        </is>
      </c>
      <c r="I20" s="7" t="inlineStr">
        <is>
          <t>radial</t>
        </is>
      </c>
      <c r="J20" s="7" t="inlineStr">
        <is>
          <t>capacitor</t>
        </is>
      </c>
      <c r="K20" s="7" t="inlineStr">
        <is>
          <t>Digi-Key</t>
        </is>
      </c>
      <c r="L20" s="7" t="inlineStr">
        <is>
          <t>493-1571-ND</t>
        </is>
      </c>
      <c r="M20" s="8" t="n">
        <v>2</v>
      </c>
      <c r="N20" s="9">
        <f>E20*M20</f>
        <v/>
      </c>
    </row>
    <row r="21">
      <c r="A21" s="15" t="n">
        <v>11</v>
      </c>
      <c r="B21" s="7" t="inlineStr">
        <is>
          <t>U70</t>
        </is>
      </c>
      <c r="C21" s="7" t="inlineStr">
        <is>
          <t>5 V 1.5 A drop-in DC-DC module</t>
        </is>
      </c>
      <c r="D21" s="7" t="inlineStr">
        <is>
          <t>OKI-78SR-5/1.5</t>
        </is>
      </c>
      <c r="E21" s="15" t="n">
        <v>1</v>
      </c>
      <c r="F21" s="15" t="inlineStr">
        <is>
          <t>pcs</t>
        </is>
      </c>
      <c r="G21" s="7" t="inlineStr">
        <is>
          <t>Murata</t>
        </is>
      </c>
      <c r="H21" s="7" t="inlineStr">
        <is>
          <t>OKI-78SR-5/1.5-W36H-C</t>
        </is>
      </c>
      <c r="I21" s="7" t="inlineStr">
        <is>
          <t>SIP-3</t>
        </is>
      </c>
      <c r="J21" s="7" t="inlineStr">
        <is>
          <t>DC-DC</t>
        </is>
      </c>
      <c r="K21" s="7" t="inlineStr">
        <is>
          <t>Digi-Key</t>
        </is>
      </c>
      <c r="L21" s="7" t="inlineStr">
        <is>
          <t>811-2692-ND</t>
        </is>
      </c>
      <c r="M21" s="8" t="n">
        <v>8.07</v>
      </c>
      <c r="N21" s="9">
        <f>E21*M21</f>
        <v/>
      </c>
    </row>
    <row r="22">
      <c r="A22" s="15" t="n">
        <v>12</v>
      </c>
      <c r="B22" s="7" t="inlineStr">
        <is>
          <t>U71</t>
        </is>
      </c>
      <c r="C22" s="7" t="inlineStr">
        <is>
          <t>3 A 5 V buck alternate (if FPGA board &gt;1.2 A)</t>
        </is>
      </c>
      <c r="D22" s="7" t="inlineStr">
        <is>
          <t>TPS54331</t>
        </is>
      </c>
      <c r="E22" s="15" t="n">
        <v>1</v>
      </c>
      <c r="F22" s="15" t="inlineStr">
        <is>
          <t>pcs</t>
        </is>
      </c>
      <c r="G22" s="7" t="inlineStr">
        <is>
          <t>Texas Instruments</t>
        </is>
      </c>
      <c r="H22" s="7" t="inlineStr">
        <is>
          <t>TPS54331D</t>
        </is>
      </c>
      <c r="I22" s="7" t="inlineStr">
        <is>
          <t>SOIC-8</t>
        </is>
      </c>
      <c r="J22" s="7" t="inlineStr">
        <is>
          <t>DC-DC</t>
        </is>
      </c>
      <c r="K22" s="7" t="inlineStr">
        <is>
          <t>Digi-Key</t>
        </is>
      </c>
      <c r="L22" s="7" t="inlineStr">
        <is>
          <t>296-24372-5-ND</t>
        </is>
      </c>
      <c r="M22" s="8" t="n">
        <v>2.85</v>
      </c>
      <c r="N22" s="9">
        <f>E22*M22</f>
        <v/>
      </c>
    </row>
    <row r="23">
      <c r="A23" s="15" t="n">
        <v>13</v>
      </c>
      <c r="B23" s="7" t="inlineStr">
        <is>
          <t>K2</t>
        </is>
      </c>
      <c r="C23" s="7" t="inlineStr">
        <is>
          <t>Force-guided relay, driver enable, 15 V coil</t>
        </is>
      </c>
      <c r="D23" s="7" t="inlineStr">
        <is>
          <t>15 V</t>
        </is>
      </c>
      <c r="E23" s="15" t="n">
        <v>1</v>
      </c>
      <c r="F23" s="15" t="inlineStr">
        <is>
          <t>pcs</t>
        </is>
      </c>
      <c r="G23" s="7" t="inlineStr">
        <is>
          <t>Omron</t>
        </is>
      </c>
      <c r="H23" s="7" t="inlineStr">
        <is>
          <t>G7SA-2A2B-DC24</t>
        </is>
      </c>
      <c r="I23" s="7" t="inlineStr">
        <is>
          <t>relay</t>
        </is>
      </c>
      <c r="J23" s="7" t="inlineStr">
        <is>
          <t>relay</t>
        </is>
      </c>
      <c r="K23" s="7" t="inlineStr">
        <is>
          <t>Digi-Key</t>
        </is>
      </c>
      <c r="L23" s="7" t="inlineStr">
        <is>
          <t>Z2862-ND</t>
        </is>
      </c>
      <c r="M23" s="8" t="n">
        <v>20</v>
      </c>
      <c r="N23" s="9">
        <f>E23*M23</f>
        <v/>
      </c>
    </row>
    <row r="24">
      <c r="A24" s="15" t="n">
        <v>14</v>
      </c>
      <c r="B24" s="7" t="inlineStr">
        <is>
          <t>PROT</t>
        </is>
      </c>
      <c r="C24" s="7" t="inlineStr">
        <is>
          <t>Input protection: 3 A fuse, SMBJ18A TVS, common-mode choke, reverse MOSFET</t>
        </is>
      </c>
      <c r="D24" s="7" t="inlineStr">
        <is>
          <t>15 V</t>
        </is>
      </c>
      <c r="E24" s="15" t="n">
        <v>1</v>
      </c>
      <c r="F24" s="15" t="inlineStr">
        <is>
          <t>lot</t>
        </is>
      </c>
      <c r="G24" s="7" t="inlineStr">
        <is>
          <t>various</t>
        </is>
      </c>
      <c r="H24" s="7" t="inlineStr">
        <is>
          <t>PROT-15V</t>
        </is>
      </c>
      <c r="I24" s="7" t="inlineStr">
        <is>
          <t>mixed</t>
        </is>
      </c>
      <c r="J24" s="7" t="inlineStr">
        <is>
          <t>protection</t>
        </is>
      </c>
      <c r="K24" s="7" t="inlineStr">
        <is>
          <t>Digi-Key</t>
        </is>
      </c>
      <c r="L24" s="7" t="inlineStr">
        <is>
          <t>kit</t>
        </is>
      </c>
      <c r="M24" s="8" t="n">
        <v>25</v>
      </c>
      <c r="N24" s="9">
        <f>E24*M24</f>
        <v/>
      </c>
    </row>
    <row r="25">
      <c r="A25" s="15" t="n">
        <v>15</v>
      </c>
      <c r="B25" s="7" t="inlineStr">
        <is>
          <t>PASS</t>
        </is>
      </c>
      <c r="C25" s="7" t="inlineStr">
        <is>
          <t>Passives, headers, connectors, test points, 4th-order filter R/C</t>
        </is>
      </c>
      <c r="D25" s="7" t="inlineStr">
        <is>
          <t>mixed</t>
        </is>
      </c>
      <c r="E25" s="15" t="n">
        <v>1</v>
      </c>
      <c r="F25" s="15" t="inlineStr">
        <is>
          <t>lot</t>
        </is>
      </c>
      <c r="G25" s="7" t="inlineStr">
        <is>
          <t>various</t>
        </is>
      </c>
      <c r="H25" s="7" t="inlineStr">
        <is>
          <t>PASS-DRV</t>
        </is>
      </c>
      <c r="I25" s="7" t="inlineStr">
        <is>
          <t>mixed</t>
        </is>
      </c>
      <c r="J25" s="7" t="inlineStr">
        <is>
          <t>passives</t>
        </is>
      </c>
      <c r="K25" s="7" t="inlineStr">
        <is>
          <t>Digi-Key</t>
        </is>
      </c>
      <c r="L25" s="7" t="inlineStr">
        <is>
          <t>kit</t>
        </is>
      </c>
      <c r="M25" s="8" t="n">
        <v>102</v>
      </c>
      <c r="N25" s="9">
        <f>E25*M25</f>
        <v/>
      </c>
    </row>
    <row r="26">
      <c r="A26" s="15" t="n">
        <v>16</v>
      </c>
      <c r="B26" s="7" t="inlineStr">
        <is>
          <t>HS</t>
        </is>
      </c>
      <c r="C26" s="7" t="inlineStr">
        <is>
          <t>Heatsink/fan for 8x LMH6321, 180 cm2 board</t>
        </is>
      </c>
      <c r="D26" s="7" t="inlineStr">
        <is>
          <t>8 ch</t>
        </is>
      </c>
      <c r="E26" s="15" t="n">
        <v>1</v>
      </c>
      <c r="F26" s="15" t="inlineStr">
        <is>
          <t>pcs</t>
        </is>
      </c>
      <c r="G26" s="7" t="inlineStr">
        <is>
          <t>Fischer</t>
        </is>
      </c>
      <c r="H26" s="7" t="inlineStr">
        <is>
          <t>SK-104-100-SA</t>
        </is>
      </c>
      <c r="I26" s="7" t="inlineStr">
        <is>
          <t>heatsink</t>
        </is>
      </c>
      <c r="J26" s="7" t="inlineStr">
        <is>
          <t>thermal</t>
        </is>
      </c>
      <c r="K26" s="7" t="inlineStr">
        <is>
          <t>Digi-Key</t>
        </is>
      </c>
      <c r="L26" s="7" t="inlineStr">
        <is>
          <t>SK-104-100-SA-ND</t>
        </is>
      </c>
      <c r="M26" s="8" t="n">
        <v>35</v>
      </c>
      <c r="N26" s="9">
        <f>E26*M26</f>
        <v/>
      </c>
    </row>
    <row r="27">
      <c r="A27" s="15" t="n">
        <v>17</v>
      </c>
      <c r="B27" s="7" t="inlineStr">
        <is>
          <t>U80-U88</t>
        </is>
      </c>
      <c r="C27" s="7" t="inlineStr">
        <is>
          <t>4th-order Butterworth low-pass filter, 60 kHz, one resistor per channel (8 + 1 spare)</t>
        </is>
      </c>
      <c r="D27" s="7" t="inlineStr">
        <is>
          <t>LTC1563-2</t>
        </is>
      </c>
      <c r="E27" s="15" t="n">
        <v>9</v>
      </c>
      <c r="F27" s="15" t="inlineStr">
        <is>
          <t>pcs</t>
        </is>
      </c>
      <c r="G27" s="7" t="inlineStr">
        <is>
          <t>Analog Devices</t>
        </is>
      </c>
      <c r="H27" s="7" t="inlineStr">
        <is>
          <t>LTC1563-2IGN#PBF</t>
        </is>
      </c>
      <c r="I27" s="7" t="inlineStr">
        <is>
          <t>SSOP-16</t>
        </is>
      </c>
      <c r="J27" s="7" t="inlineStr">
        <is>
          <t>IC-filter</t>
        </is>
      </c>
      <c r="K27" s="7" t="inlineStr">
        <is>
          <t>Digi-Key</t>
        </is>
      </c>
      <c r="L27" s="7" t="inlineStr">
        <is>
          <t>LTC1563-2IGN#PBF-ND</t>
        </is>
      </c>
      <c r="M27" s="8" t="n">
        <v>5.5</v>
      </c>
      <c r="N27" s="9">
        <f>E27*M27</f>
        <v/>
      </c>
    </row>
    <row r="28">
      <c r="A28" s="16" t="inlineStr"/>
      <c r="B28" s="10" t="inlineStr">
        <is>
          <t>TOTAL PWR-DRV-01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2" t="n"/>
      <c r="N28" s="13">
        <f>SUM(N11:N27)</f>
        <v/>
      </c>
    </row>
  </sheetData>
  <mergeCells count="2">
    <mergeCell ref="A8:N8"/>
    <mergeCell ref="B28:M28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zoomScale="85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52" customWidth="1" min="3" max="3"/>
    <col width="16" customWidth="1" min="4" max="4"/>
    <col width="7" customWidth="1" min="5" max="5"/>
    <col width="7" customWidth="1" min="6" max="6"/>
    <col width="18" customWidth="1" min="7" max="7"/>
    <col width="26" customWidth="1" min="8" max="8"/>
    <col width="16" customWidth="1" min="9" max="9"/>
    <col width="12" customWidth="1" min="10" max="10"/>
    <col width="16" customWidth="1" min="11" max="11"/>
    <col width="26" customWidth="1" min="12" max="12"/>
    <col width="11" customWidth="1" min="13" max="13"/>
    <col width="12" customWidth="1" min="14" max="14"/>
  </cols>
  <sheetData>
    <row r="1">
      <c r="A1" s="4" t="inlineStr">
        <is>
          <t>Company:</t>
        </is>
      </c>
      <c r="B1" t="inlineStr">
        <is>
          <t>Concordia University, Department of Electrical and Computer Engineering</t>
        </is>
      </c>
    </row>
    <row r="2">
      <c r="A2" s="4" t="inlineStr">
        <is>
          <t>Project:</t>
        </is>
      </c>
      <c r="B2" t="inlineStr">
        <is>
          <t>EM AccuBot - Team 25 (ELEC/COEN 490)</t>
        </is>
      </c>
    </row>
    <row r="3">
      <c r="A3" s="4" t="inlineStr">
        <is>
          <t>Design ref.:</t>
        </is>
      </c>
      <c r="B3" t="inlineStr">
        <is>
          <t>FE-ADC-01 - receiver + ADC</t>
        </is>
      </c>
    </row>
    <row r="4">
      <c r="A4" s="4" t="inlineStr">
        <is>
          <t>Prepared by:</t>
        </is>
      </c>
      <c r="B4" t="inlineStr">
        <is>
          <t>Team 25 / design review</t>
        </is>
      </c>
    </row>
    <row r="5">
      <c r="A5" s="4" t="inlineStr">
        <is>
          <t>Rev.#</t>
        </is>
      </c>
      <c r="B5" t="inlineStr">
        <is>
          <t>0.01</t>
        </is>
      </c>
      <c r="C5" t="inlineStr">
        <is>
          <t>Date:</t>
        </is>
      </c>
      <c r="D5" t="inlineStr">
        <is>
          <t>2026-10-27</t>
        </is>
      </c>
    </row>
    <row r="6">
      <c r="A6" s="4" t="inlineStr">
        <is>
          <t>Approved by:</t>
        </is>
      </c>
      <c r="B6" t="inlineStr">
        <is>
          <t>(sign before order)</t>
        </is>
      </c>
    </row>
    <row r="8">
      <c r="A8" s="5" t="inlineStr">
        <is>
          <t>BOM - FE-ADC-01 - receiver + ADC (Rev A, estimates; re-quote at order)</t>
        </is>
      </c>
    </row>
    <row r="10">
      <c r="A10" s="6" t="inlineStr">
        <is>
          <t>Item #</t>
        </is>
      </c>
      <c r="B10" s="6" t="inlineStr">
        <is>
          <t>Design Reference #</t>
        </is>
      </c>
      <c r="C10" s="6" t="inlineStr">
        <is>
          <t>Description</t>
        </is>
      </c>
      <c r="D10" s="6" t="inlineStr">
        <is>
          <t>Value</t>
        </is>
      </c>
      <c r="E10" s="6" t="inlineStr">
        <is>
          <t>QTY</t>
        </is>
      </c>
      <c r="F10" s="6" t="inlineStr">
        <is>
          <t>Unit</t>
        </is>
      </c>
      <c r="G10" s="6" t="inlineStr">
        <is>
          <t>Manufacturer</t>
        </is>
      </c>
      <c r="H10" s="6" t="inlineStr">
        <is>
          <t>Manufacturer Part#</t>
        </is>
      </c>
      <c r="I10" s="6" t="inlineStr">
        <is>
          <t>Package</t>
        </is>
      </c>
      <c r="J10" s="6" t="inlineStr">
        <is>
          <t>Type</t>
        </is>
      </c>
      <c r="K10" s="6" t="inlineStr">
        <is>
          <t>Supplier</t>
        </is>
      </c>
      <c r="L10" s="6" t="inlineStr">
        <is>
          <t>Supplier P/N</t>
        </is>
      </c>
      <c r="M10" s="6" t="inlineStr">
        <is>
          <t>Price (CAD)</t>
        </is>
      </c>
      <c r="N10" s="6" t="inlineStr">
        <is>
          <t>Ext.price (CAD)</t>
        </is>
      </c>
    </row>
    <row r="11">
      <c r="A11" s="15" t="n">
        <v>1</v>
      </c>
      <c r="B11" s="7" t="inlineStr">
        <is>
          <t>PCB</t>
        </is>
      </c>
      <c r="C11" s="7" t="inlineStr">
        <is>
          <t>PCB included in BRD-01 (zone B)</t>
        </is>
      </c>
      <c r="D11" s="7" t="inlineStr">
        <is>
          <t>100x100 mm</t>
        </is>
      </c>
      <c r="E11" s="15" t="n">
        <v>0</v>
      </c>
      <c r="F11" s="15" t="inlineStr">
        <is>
          <t>pcs</t>
        </is>
      </c>
      <c r="G11" s="7" t="inlineStr">
        <is>
          <t>JLCPCB</t>
        </is>
      </c>
      <c r="H11" s="7" t="inlineStr">
        <is>
          <t>FE-ADC-100X100-4L</t>
        </is>
      </c>
      <c r="I11" s="7" t="inlineStr">
        <is>
          <t>PCB</t>
        </is>
      </c>
      <c r="J11" s="7" t="inlineStr">
        <is>
          <t>PCB-fab</t>
        </is>
      </c>
      <c r="K11" s="7" t="inlineStr">
        <is>
          <t>JLCPCB</t>
        </is>
      </c>
      <c r="L11" s="7" t="inlineStr">
        <is>
          <t>quote at order</t>
        </is>
      </c>
      <c r="M11" s="8" t="n">
        <v>0</v>
      </c>
      <c r="N11" s="9">
        <f>E11*M11</f>
        <v/>
      </c>
    </row>
    <row r="12">
      <c r="A12" s="15" t="n">
        <v>2</v>
      </c>
      <c r="B12" s="7" t="inlineStr">
        <is>
          <t>U1,U1S</t>
        </is>
      </c>
      <c r="C12" s="7" t="inlineStr">
        <is>
          <t>24-bit 4-ch simultaneous sigma-delta ADC (build + spare)</t>
        </is>
      </c>
      <c r="D12" s="7" t="inlineStr">
        <is>
          <t>AD7768-4</t>
        </is>
      </c>
      <c r="E12" s="15" t="n">
        <v>2</v>
      </c>
      <c r="F12" s="15" t="inlineStr">
        <is>
          <t>pcs</t>
        </is>
      </c>
      <c r="G12" s="7" t="inlineStr">
        <is>
          <t>Analog Devices</t>
        </is>
      </c>
      <c r="H12" s="7" t="inlineStr">
        <is>
          <t>AD7768-4BSTZ-RL7</t>
        </is>
      </c>
      <c r="I12" s="7" t="inlineStr">
        <is>
          <t>LQFP-64</t>
        </is>
      </c>
      <c r="J12" s="7" t="inlineStr">
        <is>
          <t>IC-ADC</t>
        </is>
      </c>
      <c r="K12" s="7" t="inlineStr">
        <is>
          <t>Digi-Key</t>
        </is>
      </c>
      <c r="L12" s="7" t="inlineStr">
        <is>
          <t>AD7768-4BSTZ-RL7-ND</t>
        </is>
      </c>
      <c r="M12" s="8" t="n">
        <v>49.65</v>
      </c>
      <c r="N12" s="9">
        <f>E12*M12</f>
        <v/>
      </c>
    </row>
    <row r="13">
      <c r="A13" s="15" t="n">
        <v>3</v>
      </c>
      <c r="B13" s="7" t="inlineStr">
        <is>
          <t>U2</t>
        </is>
      </c>
      <c r="C13" s="7" t="inlineStr">
        <is>
          <t>4.096 V XFET voltage reference</t>
        </is>
      </c>
      <c r="D13" s="7" t="inlineStr">
        <is>
          <t>ADR434</t>
        </is>
      </c>
      <c r="E13" s="15" t="n">
        <v>1</v>
      </c>
      <c r="F13" s="15" t="inlineStr">
        <is>
          <t>pcs</t>
        </is>
      </c>
      <c r="G13" s="7" t="inlineStr">
        <is>
          <t>Analog Devices</t>
        </is>
      </c>
      <c r="H13" s="7" t="inlineStr">
        <is>
          <t>ADR434BRZ</t>
        </is>
      </c>
      <c r="I13" s="7" t="inlineStr">
        <is>
          <t>SOIC-8</t>
        </is>
      </c>
      <c r="J13" s="7" t="inlineStr">
        <is>
          <t>IC-VREF</t>
        </is>
      </c>
      <c r="K13" s="7" t="inlineStr">
        <is>
          <t>Digi-Key</t>
        </is>
      </c>
      <c r="L13" s="7" t="inlineStr">
        <is>
          <t>ADR434BRZ-ND</t>
        </is>
      </c>
      <c r="M13" s="8" t="n">
        <v>23.01</v>
      </c>
      <c r="N13" s="9">
        <f>E13*M13</f>
        <v/>
      </c>
    </row>
    <row r="14">
      <c r="A14" s="15" t="n">
        <v>4</v>
      </c>
      <c r="B14" s="7" t="inlineStr">
        <is>
          <t>U3,U3S</t>
        </is>
      </c>
      <c r="C14" s="7" t="inlineStr">
        <is>
          <t>Low-noise instrumentation amp, G=35</t>
        </is>
      </c>
      <c r="D14" s="7" t="inlineStr">
        <is>
          <t>INA163</t>
        </is>
      </c>
      <c r="E14" s="15" t="n">
        <v>2</v>
      </c>
      <c r="F14" s="15" t="inlineStr">
        <is>
          <t>pcs</t>
        </is>
      </c>
      <c r="G14" s="7" t="inlineStr">
        <is>
          <t>Texas Instruments</t>
        </is>
      </c>
      <c r="H14" s="7" t="inlineStr">
        <is>
          <t>INA163UA</t>
        </is>
      </c>
      <c r="I14" s="7" t="inlineStr">
        <is>
          <t>SOIC-14</t>
        </is>
      </c>
      <c r="J14" s="7" t="inlineStr">
        <is>
          <t>IC-inamp</t>
        </is>
      </c>
      <c r="K14" s="7" t="inlineStr">
        <is>
          <t>Digi-Key</t>
        </is>
      </c>
      <c r="L14" s="7" t="inlineStr">
        <is>
          <t>296-14277-5-ND</t>
        </is>
      </c>
      <c r="M14" s="8" t="n">
        <v>9.630000000000001</v>
      </c>
      <c r="N14" s="9">
        <f>E14*M14</f>
        <v/>
      </c>
    </row>
    <row r="15">
      <c r="A15" s="15" t="n">
        <v>5</v>
      </c>
      <c r="B15" s="7" t="inlineStr">
        <is>
          <t>U4,U4S</t>
        </is>
      </c>
      <c r="C15" s="7" t="inlineStr">
        <is>
          <t>Fully differential ADC driver, G=2</t>
        </is>
      </c>
      <c r="D15" s="7" t="inlineStr">
        <is>
          <t>ADA4940-2</t>
        </is>
      </c>
      <c r="E15" s="15" t="n">
        <v>2</v>
      </c>
      <c r="F15" s="15" t="inlineStr">
        <is>
          <t>pcs</t>
        </is>
      </c>
      <c r="G15" s="7" t="inlineStr">
        <is>
          <t>Analog Devices</t>
        </is>
      </c>
      <c r="H15" s="7" t="inlineStr">
        <is>
          <t>ADA4940-2ACPZ-R2</t>
        </is>
      </c>
      <c r="I15" s="7" t="inlineStr">
        <is>
          <t>LFCSP-24</t>
        </is>
      </c>
      <c r="J15" s="7" t="inlineStr">
        <is>
          <t>IC-fda</t>
        </is>
      </c>
      <c r="K15" s="7" t="inlineStr">
        <is>
          <t>Digi-Key</t>
        </is>
      </c>
      <c r="L15" s="7" t="inlineStr">
        <is>
          <t>505-ADA4940-2ACPZ-R2CT-ND</t>
        </is>
      </c>
      <c r="M15" s="8" t="n">
        <v>11.94</v>
      </c>
      <c r="N15" s="9">
        <f>E15*M15</f>
        <v/>
      </c>
    </row>
    <row r="16">
      <c r="A16" s="15" t="n">
        <v>6</v>
      </c>
      <c r="B16" s="7" t="inlineStr">
        <is>
          <t>U5-U8</t>
        </is>
      </c>
      <c r="C16" s="7" t="inlineStr">
        <is>
          <t>Precision op-amp, reference/VCM buffers</t>
        </is>
      </c>
      <c r="D16" s="7" t="inlineStr">
        <is>
          <t>OPA192</t>
        </is>
      </c>
      <c r="E16" s="15" t="n">
        <v>4</v>
      </c>
      <c r="F16" s="15" t="inlineStr">
        <is>
          <t>pcs</t>
        </is>
      </c>
      <c r="G16" s="7" t="inlineStr">
        <is>
          <t>Texas Instruments</t>
        </is>
      </c>
      <c r="H16" s="7" t="inlineStr">
        <is>
          <t>OPA192IDR</t>
        </is>
      </c>
      <c r="I16" s="7" t="inlineStr">
        <is>
          <t>SOIC-8</t>
        </is>
      </c>
      <c r="J16" s="7" t="inlineStr">
        <is>
          <t>IC-opamp</t>
        </is>
      </c>
      <c r="K16" s="7" t="inlineStr">
        <is>
          <t>Digi-Key</t>
        </is>
      </c>
      <c r="L16" s="7" t="inlineStr">
        <is>
          <t>296-37238-1-ND</t>
        </is>
      </c>
      <c r="M16" s="8" t="n">
        <v>4.12</v>
      </c>
      <c r="N16" s="9">
        <f>E16*M16</f>
        <v/>
      </c>
    </row>
    <row r="17">
      <c r="A17" s="15" t="n">
        <v>7</v>
      </c>
      <c r="B17" s="7" t="inlineStr">
        <is>
          <t>U9</t>
        </is>
      </c>
      <c r="C17" s="7" t="inlineStr">
        <is>
          <t>Isolated +/-15 V 2 W DC-DC module</t>
        </is>
      </c>
      <c r="D17" s="7" t="inlineStr">
        <is>
          <t>RV-1515D</t>
        </is>
      </c>
      <c r="E17" s="15" t="n">
        <v>1</v>
      </c>
      <c r="F17" s="15" t="inlineStr">
        <is>
          <t>pcs</t>
        </is>
      </c>
      <c r="G17" s="7" t="inlineStr">
        <is>
          <t>RECOM</t>
        </is>
      </c>
      <c r="H17" s="7" t="inlineStr">
        <is>
          <t>RV-1515D</t>
        </is>
      </c>
      <c r="I17" s="7" t="inlineStr">
        <is>
          <t>DIP-24</t>
        </is>
      </c>
      <c r="J17" s="7" t="inlineStr">
        <is>
          <t>DC-DC</t>
        </is>
      </c>
      <c r="K17" s="7" t="inlineStr">
        <is>
          <t>Digi-Key</t>
        </is>
      </c>
      <c r="L17" s="7" t="inlineStr">
        <is>
          <t>945-RV-1515D-ND</t>
        </is>
      </c>
      <c r="M17" s="8" t="n">
        <v>20</v>
      </c>
      <c r="N17" s="9">
        <f>E17*M17</f>
        <v/>
      </c>
    </row>
    <row r="18">
      <c r="A18" s="15" t="n">
        <v>8</v>
      </c>
      <c r="B18" s="7" t="inlineStr">
        <is>
          <t>U10,U11</t>
        </is>
      </c>
      <c r="C18" s="7" t="inlineStr">
        <is>
          <t>36 V 1 A ultralow-noise positive LDO</t>
        </is>
      </c>
      <c r="D18" s="7" t="inlineStr">
        <is>
          <t>TPS7A4701</t>
        </is>
      </c>
      <c r="E18" s="15" t="n">
        <v>2</v>
      </c>
      <c r="F18" s="15" t="inlineStr">
        <is>
          <t>pcs</t>
        </is>
      </c>
      <c r="G18" s="7" t="inlineStr">
        <is>
          <t>Texas Instruments</t>
        </is>
      </c>
      <c r="H18" s="7" t="inlineStr">
        <is>
          <t>TPS7A4701RGWR</t>
        </is>
      </c>
      <c r="I18" s="7" t="inlineStr">
        <is>
          <t>VQFN-20</t>
        </is>
      </c>
      <c r="J18" s="7" t="inlineStr">
        <is>
          <t>IC-LDO</t>
        </is>
      </c>
      <c r="K18" s="7" t="inlineStr">
        <is>
          <t>Digi-Key</t>
        </is>
      </c>
      <c r="L18" s="7" t="inlineStr">
        <is>
          <t>296-37719-1-ND</t>
        </is>
      </c>
      <c r="M18" s="8" t="n">
        <v>5.03</v>
      </c>
      <c r="N18" s="9">
        <f>E18*M18</f>
        <v/>
      </c>
    </row>
    <row r="19">
      <c r="A19" s="15" t="n">
        <v>9</v>
      </c>
      <c r="B19" s="7" t="inlineStr">
        <is>
          <t>U12</t>
        </is>
      </c>
      <c r="C19" s="7" t="inlineStr">
        <is>
          <t>Negative ultralow-noise LDO</t>
        </is>
      </c>
      <c r="D19" s="7" t="inlineStr">
        <is>
          <t>TPS7A33</t>
        </is>
      </c>
      <c r="E19" s="15" t="n">
        <v>1</v>
      </c>
      <c r="F19" s="15" t="inlineStr">
        <is>
          <t>pcs</t>
        </is>
      </c>
      <c r="G19" s="7" t="inlineStr">
        <is>
          <t>Texas Instruments</t>
        </is>
      </c>
      <c r="H19" s="7" t="inlineStr">
        <is>
          <t>TPS7A3301RGWR</t>
        </is>
      </c>
      <c r="I19" s="7" t="inlineStr">
        <is>
          <t>VQFN-20</t>
        </is>
      </c>
      <c r="J19" s="7" t="inlineStr">
        <is>
          <t>IC-LDO</t>
        </is>
      </c>
      <c r="K19" s="7" t="inlineStr">
        <is>
          <t>Digi-Key</t>
        </is>
      </c>
      <c r="L19" s="7" t="inlineStr">
        <is>
          <t>296-30675-1-ND</t>
        </is>
      </c>
      <c r="M19" s="8" t="n">
        <v>8</v>
      </c>
      <c r="N19" s="9">
        <f>E19*M19</f>
        <v/>
      </c>
    </row>
    <row r="20">
      <c r="A20" s="15" t="n">
        <v>10</v>
      </c>
      <c r="B20" s="7" t="inlineStr">
        <is>
          <t>U13</t>
        </is>
      </c>
      <c r="C20" s="7" t="inlineStr">
        <is>
          <t>3.3 V low-noise LDO</t>
        </is>
      </c>
      <c r="D20" s="7" t="inlineStr">
        <is>
          <t>TPS7A20</t>
        </is>
      </c>
      <c r="E20" s="15" t="n">
        <v>1</v>
      </c>
      <c r="F20" s="15" t="inlineStr">
        <is>
          <t>pcs</t>
        </is>
      </c>
      <c r="G20" s="7" t="inlineStr">
        <is>
          <t>Texas Instruments</t>
        </is>
      </c>
      <c r="H20" s="7" t="inlineStr">
        <is>
          <t>TPS7A2033PDBVR</t>
        </is>
      </c>
      <c r="I20" s="7" t="inlineStr">
        <is>
          <t>SOT-23-5</t>
        </is>
      </c>
      <c r="J20" s="7" t="inlineStr">
        <is>
          <t>IC-LDO</t>
        </is>
      </c>
      <c r="K20" s="7" t="inlineStr">
        <is>
          <t>Digi-Key</t>
        </is>
      </c>
      <c r="L20" s="7" t="inlineStr">
        <is>
          <t>296-TPS7A2033PDBVRCT-ND</t>
        </is>
      </c>
      <c r="M20" s="8" t="n">
        <v>1.5</v>
      </c>
      <c r="N20" s="9">
        <f>E20*M20</f>
        <v/>
      </c>
    </row>
    <row r="21">
      <c r="A21" s="15" t="n">
        <v>11</v>
      </c>
      <c r="B21" s="7" t="inlineStr">
        <is>
          <t>Y1,Y1S</t>
        </is>
      </c>
      <c r="C21" s="7" t="inlineStr">
        <is>
          <t>32.768 MHz CMOS oscillator, 3.3 V (build + spare)</t>
        </is>
      </c>
      <c r="D21" s="7" t="inlineStr">
        <is>
          <t>32.768 MHz</t>
        </is>
      </c>
      <c r="E21" s="15" t="n">
        <v>2</v>
      </c>
      <c r="F21" s="15" t="inlineStr">
        <is>
          <t>pcs</t>
        </is>
      </c>
      <c r="G21" s="7" t="inlineStr">
        <is>
          <t>Citizen</t>
        </is>
      </c>
      <c r="H21" s="7" t="inlineStr">
        <is>
          <t>CSX750FBC32.768M-UT</t>
        </is>
      </c>
      <c r="I21" s="7" t="inlineStr">
        <is>
          <t>SMD-7050</t>
        </is>
      </c>
      <c r="J21" s="7" t="inlineStr">
        <is>
          <t>oscillator</t>
        </is>
      </c>
      <c r="K21" s="7" t="inlineStr">
        <is>
          <t>Digi-Key</t>
        </is>
      </c>
      <c r="L21" s="7" t="inlineStr">
        <is>
          <t>300-7250-1-ND</t>
        </is>
      </c>
      <c r="M21" s="8" t="n">
        <v>4.28</v>
      </c>
      <c r="N21" s="9">
        <f>E21*M21</f>
        <v/>
      </c>
    </row>
    <row r="22">
      <c r="A22" s="15" t="n">
        <v>12</v>
      </c>
      <c r="B22" s="7" t="inlineStr">
        <is>
          <t>PASS</t>
        </is>
      </c>
      <c r="C22" s="7" t="inlineStr">
        <is>
          <t>Passives, connectors, RC network, ESD protection</t>
        </is>
      </c>
      <c r="D22" s="7" t="inlineStr">
        <is>
          <t>mixed</t>
        </is>
      </c>
      <c r="E22" s="15" t="n">
        <v>1</v>
      </c>
      <c r="F22" s="15" t="inlineStr">
        <is>
          <t>lot</t>
        </is>
      </c>
      <c r="G22" s="7" t="inlineStr">
        <is>
          <t>various</t>
        </is>
      </c>
      <c r="H22" s="7" t="inlineStr">
        <is>
          <t>PASS-FE</t>
        </is>
      </c>
      <c r="I22" s="7" t="inlineStr">
        <is>
          <t>mixed</t>
        </is>
      </c>
      <c r="J22" s="7" t="inlineStr">
        <is>
          <t>passives</t>
        </is>
      </c>
      <c r="K22" s="7" t="inlineStr">
        <is>
          <t>Digi-Key</t>
        </is>
      </c>
      <c r="L22" s="7" t="inlineStr">
        <is>
          <t>kit</t>
        </is>
      </c>
      <c r="M22" s="8" t="n">
        <v>65</v>
      </c>
      <c r="N22" s="9">
        <f>E22*M22</f>
        <v/>
      </c>
    </row>
    <row r="23">
      <c r="A23" s="15" t="n">
        <v>13</v>
      </c>
      <c r="B23" s="7" t="inlineStr">
        <is>
          <t>ALT-ADC</t>
        </is>
      </c>
      <c r="C23" s="7" t="inlineStr">
        <is>
          <t>BACKUP ONLY: quad 24-bit 144 kSPS ADC</t>
        </is>
      </c>
      <c r="D23" s="7" t="inlineStr">
        <is>
          <t>ADS1274</t>
        </is>
      </c>
      <c r="E23" s="15" t="n">
        <v>0</v>
      </c>
      <c r="F23" s="15" t="inlineStr">
        <is>
          <t>pcs</t>
        </is>
      </c>
      <c r="G23" s="7" t="inlineStr">
        <is>
          <t>Texas Instruments</t>
        </is>
      </c>
      <c r="H23" s="7" t="inlineStr">
        <is>
          <t>ADS1274IPAPR</t>
        </is>
      </c>
      <c r="I23" s="7" t="inlineStr">
        <is>
          <t>HTQFP-64</t>
        </is>
      </c>
      <c r="J23" s="7" t="inlineStr">
        <is>
          <t>IC-ADC</t>
        </is>
      </c>
      <c r="K23" s="7" t="inlineStr">
        <is>
          <t>Digi-Key</t>
        </is>
      </c>
      <c r="L23" s="7" t="inlineStr">
        <is>
          <t>296-ADS1274IPAPR-ND</t>
        </is>
      </c>
      <c r="M23" s="8" t="n">
        <v>0</v>
      </c>
      <c r="N23" s="9">
        <f>E23*M23</f>
        <v/>
      </c>
    </row>
    <row r="24">
      <c r="A24" s="16" t="inlineStr"/>
      <c r="B24" s="10" t="inlineStr">
        <is>
          <t>TOTAL FE-ADC-01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2" t="n"/>
      <c r="N24" s="13">
        <f>SUM(N11:N23)</f>
        <v/>
      </c>
    </row>
  </sheetData>
  <mergeCells count="2">
    <mergeCell ref="B24:M24"/>
    <mergeCell ref="A8:N8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zoomScale="85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52" customWidth="1" min="3" max="3"/>
    <col width="16" customWidth="1" min="4" max="4"/>
    <col width="7" customWidth="1" min="5" max="5"/>
    <col width="7" customWidth="1" min="6" max="6"/>
    <col width="18" customWidth="1" min="7" max="7"/>
    <col width="26" customWidth="1" min="8" max="8"/>
    <col width="16" customWidth="1" min="9" max="9"/>
    <col width="12" customWidth="1" min="10" max="10"/>
    <col width="16" customWidth="1" min="11" max="11"/>
    <col width="26" customWidth="1" min="12" max="12"/>
    <col width="11" customWidth="1" min="13" max="13"/>
    <col width="12" customWidth="1" min="14" max="14"/>
  </cols>
  <sheetData>
    <row r="1">
      <c r="A1" s="4" t="inlineStr">
        <is>
          <t>Company:</t>
        </is>
      </c>
      <c r="B1" t="inlineStr">
        <is>
          <t>Concordia University, Department of Electrical and Computer Engineering</t>
        </is>
      </c>
    </row>
    <row r="2">
      <c r="A2" s="4" t="inlineStr">
        <is>
          <t>Project:</t>
        </is>
      </c>
      <c r="B2" t="inlineStr">
        <is>
          <t>EM AccuBot - Team 25 (ELEC/COEN 490)</t>
        </is>
      </c>
    </row>
    <row r="3">
      <c r="A3" s="4" t="inlineStr">
        <is>
          <t>Design ref.:</t>
        </is>
      </c>
      <c r="B3" t="inlineStr">
        <is>
          <t>FPGA-IF-01 - FPGA interface</t>
        </is>
      </c>
    </row>
    <row r="4">
      <c r="A4" s="4" t="inlineStr">
        <is>
          <t>Prepared by:</t>
        </is>
      </c>
      <c r="B4" t="inlineStr">
        <is>
          <t>Team 25 / design review</t>
        </is>
      </c>
    </row>
    <row r="5">
      <c r="A5" s="4" t="inlineStr">
        <is>
          <t>Rev.#</t>
        </is>
      </c>
      <c r="B5" t="inlineStr">
        <is>
          <t>0.01</t>
        </is>
      </c>
      <c r="C5" t="inlineStr">
        <is>
          <t>Date:</t>
        </is>
      </c>
      <c r="D5" t="inlineStr">
        <is>
          <t>2026-10-27</t>
        </is>
      </c>
    </row>
    <row r="6">
      <c r="A6" s="4" t="inlineStr">
        <is>
          <t>Approved by:</t>
        </is>
      </c>
      <c r="B6" t="inlineStr">
        <is>
          <t>(sign before order)</t>
        </is>
      </c>
    </row>
    <row r="8">
      <c r="A8" s="5" t="inlineStr">
        <is>
          <t>BOM - FPGA-IF-01 - FPGA interface (Rev A, estimates; re-quote at order)</t>
        </is>
      </c>
    </row>
    <row r="10">
      <c r="A10" s="6" t="inlineStr">
        <is>
          <t>Item #</t>
        </is>
      </c>
      <c r="B10" s="6" t="inlineStr">
        <is>
          <t>Design Reference #</t>
        </is>
      </c>
      <c r="C10" s="6" t="inlineStr">
        <is>
          <t>Description</t>
        </is>
      </c>
      <c r="D10" s="6" t="inlineStr">
        <is>
          <t>Value</t>
        </is>
      </c>
      <c r="E10" s="6" t="inlineStr">
        <is>
          <t>QTY</t>
        </is>
      </c>
      <c r="F10" s="6" t="inlineStr">
        <is>
          <t>Unit</t>
        </is>
      </c>
      <c r="G10" s="6" t="inlineStr">
        <is>
          <t>Manufacturer</t>
        </is>
      </c>
      <c r="H10" s="6" t="inlineStr">
        <is>
          <t>Manufacturer Part#</t>
        </is>
      </c>
      <c r="I10" s="6" t="inlineStr">
        <is>
          <t>Package</t>
        </is>
      </c>
      <c r="J10" s="6" t="inlineStr">
        <is>
          <t>Type</t>
        </is>
      </c>
      <c r="K10" s="6" t="inlineStr">
        <is>
          <t>Supplier</t>
        </is>
      </c>
      <c r="L10" s="6" t="inlineStr">
        <is>
          <t>Supplier P/N</t>
        </is>
      </c>
      <c r="M10" s="6" t="inlineStr">
        <is>
          <t>Price (CAD)</t>
        </is>
      </c>
      <c r="N10" s="6" t="inlineStr">
        <is>
          <t>Ext.price (CAD)</t>
        </is>
      </c>
    </row>
    <row r="11">
      <c r="A11" s="15" t="n">
        <v>1</v>
      </c>
      <c r="B11" s="7" t="inlineStr">
        <is>
          <t>PCB</t>
        </is>
      </c>
      <c r="C11" s="7" t="inlineStr">
        <is>
          <t>PCB included in BRD-01 (zone C)</t>
        </is>
      </c>
      <c r="D11" s="7" t="inlineStr">
        <is>
          <t>100x100 mm</t>
        </is>
      </c>
      <c r="E11" s="15" t="n">
        <v>0</v>
      </c>
      <c r="F11" s="15" t="inlineStr">
        <is>
          <t>pcs</t>
        </is>
      </c>
      <c r="G11" s="7" t="inlineStr">
        <is>
          <t>JLCPCB</t>
        </is>
      </c>
      <c r="H11" s="7" t="inlineStr">
        <is>
          <t>FPGA-IF-100X100-2L</t>
        </is>
      </c>
      <c r="I11" s="7" t="inlineStr">
        <is>
          <t>PCB</t>
        </is>
      </c>
      <c r="J11" s="7" t="inlineStr">
        <is>
          <t>PCB-fab</t>
        </is>
      </c>
      <c r="K11" s="7" t="inlineStr">
        <is>
          <t>JLCPCB</t>
        </is>
      </c>
      <c r="L11" s="7" t="inlineStr">
        <is>
          <t>quote at order</t>
        </is>
      </c>
      <c r="M11" s="8" t="n">
        <v>0</v>
      </c>
      <c r="N11" s="9">
        <f>E11*M11</f>
        <v/>
      </c>
    </row>
    <row r="12">
      <c r="A12" s="15" t="n">
        <v>2</v>
      </c>
      <c r="B12" s="7" t="inlineStr">
        <is>
          <t>U1</t>
        </is>
      </c>
      <c r="C12" s="7" t="inlineStr">
        <is>
          <t>QSPI config flash, 64 Mb, SOIC-8</t>
        </is>
      </c>
      <c r="D12" s="7" t="inlineStr">
        <is>
          <t>W25Q64JV</t>
        </is>
      </c>
      <c r="E12" s="15" t="n">
        <v>1</v>
      </c>
      <c r="F12" s="15" t="inlineStr">
        <is>
          <t>pcs</t>
        </is>
      </c>
      <c r="G12" s="7" t="inlineStr">
        <is>
          <t>Amphenol</t>
        </is>
      </c>
      <c r="H12" s="7" t="inlineStr">
        <is>
          <t>71918-140LF</t>
        </is>
      </c>
      <c r="I12" s="7" t="inlineStr">
        <is>
          <t>TH</t>
        </is>
      </c>
      <c r="J12" s="7" t="inlineStr">
        <is>
          <t>connector</t>
        </is>
      </c>
      <c r="K12" s="7" t="inlineStr">
        <is>
          <t>Digi-Key</t>
        </is>
      </c>
      <c r="L12" s="7" t="inlineStr">
        <is>
          <t>609-71918-140LF-ND</t>
        </is>
      </c>
      <c r="M12" s="8" t="n">
        <v>2</v>
      </c>
      <c r="N12" s="9">
        <f>E12*M12</f>
        <v/>
      </c>
    </row>
    <row r="13">
      <c r="A13" s="15" t="n">
        <v>3</v>
      </c>
      <c r="B13" s="7" t="inlineStr">
        <is>
          <t>U2</t>
        </is>
      </c>
      <c r="C13" s="7" t="inlineStr">
        <is>
          <t>USB-UART bridge, 3.3 V</t>
        </is>
      </c>
      <c r="D13" s="7" t="inlineStr">
        <is>
          <t>FT231XQ</t>
        </is>
      </c>
      <c r="E13" s="15" t="n">
        <v>1</v>
      </c>
      <c r="F13" s="15" t="inlineStr">
        <is>
          <t>pcs</t>
        </is>
      </c>
      <c r="G13" s="7" t="inlineStr">
        <is>
          <t>3M</t>
        </is>
      </c>
      <c r="H13" s="7" t="inlineStr">
        <is>
          <t>3302/40-100</t>
        </is>
      </c>
      <c r="I13" s="7" t="inlineStr">
        <is>
          <t>ribbon</t>
        </is>
      </c>
      <c r="J13" s="7" t="inlineStr">
        <is>
          <t>cable</t>
        </is>
      </c>
      <c r="K13" s="7" t="inlineStr">
        <is>
          <t>Digi-Key</t>
        </is>
      </c>
      <c r="L13" s="7" t="inlineStr">
        <is>
          <t>MB40A-5-ND</t>
        </is>
      </c>
      <c r="M13" s="8" t="n">
        <v>4</v>
      </c>
      <c r="N13" s="9">
        <f>E13*M13</f>
        <v/>
      </c>
    </row>
    <row r="14">
      <c r="A14" s="15" t="n">
        <v>4</v>
      </c>
      <c r="B14" s="7" t="inlineStr">
        <is>
          <t>U1,U2</t>
        </is>
      </c>
      <c r="C14" s="7" t="inlineStr">
        <is>
          <t>Optocoupler, E-stop status / fault isolation</t>
        </is>
      </c>
      <c r="D14" s="7" t="inlineStr">
        <is>
          <t>TLP291</t>
        </is>
      </c>
      <c r="E14" s="15" t="n">
        <v>2</v>
      </c>
      <c r="F14" s="15" t="inlineStr">
        <is>
          <t>pcs</t>
        </is>
      </c>
      <c r="G14" s="7" t="inlineStr">
        <is>
          <t>Toshiba</t>
        </is>
      </c>
      <c r="H14" s="7" t="inlineStr">
        <is>
          <t>TLP291(GB,SE</t>
        </is>
      </c>
      <c r="I14" s="7" t="inlineStr">
        <is>
          <t>SOIC-4</t>
        </is>
      </c>
      <c r="J14" s="7" t="inlineStr">
        <is>
          <t>opto</t>
        </is>
      </c>
      <c r="K14" s="7" t="inlineStr">
        <is>
          <t>Digi-Key</t>
        </is>
      </c>
      <c r="L14" s="7" t="inlineStr">
        <is>
          <t>TLP291GBSE-ND</t>
        </is>
      </c>
      <c r="M14" s="8" t="n">
        <v>1.5</v>
      </c>
      <c r="N14" s="9">
        <f>E14*M14</f>
        <v/>
      </c>
    </row>
    <row r="15">
      <c r="A15" s="15" t="n">
        <v>5</v>
      </c>
      <c r="B15" s="7" t="inlineStr">
        <is>
          <t>PASS</t>
        </is>
      </c>
      <c r="C15" s="7" t="inlineStr">
        <is>
          <t>Passives, connectors, 2x7 JTAG header, supervisor, test points</t>
        </is>
      </c>
      <c r="D15" s="7" t="inlineStr">
        <is>
          <t>mixed</t>
        </is>
      </c>
      <c r="E15" s="15" t="n">
        <v>1</v>
      </c>
      <c r="F15" s="15" t="inlineStr">
        <is>
          <t>lot</t>
        </is>
      </c>
      <c r="G15" s="7" t="inlineStr">
        <is>
          <t>various</t>
        </is>
      </c>
      <c r="H15" s="7" t="inlineStr">
        <is>
          <t>PASS-IF</t>
        </is>
      </c>
      <c r="I15" s="7" t="inlineStr">
        <is>
          <t>mixed</t>
        </is>
      </c>
      <c r="J15" s="7" t="inlineStr">
        <is>
          <t>passives</t>
        </is>
      </c>
      <c r="K15" s="7" t="inlineStr">
        <is>
          <t>Digi-Key</t>
        </is>
      </c>
      <c r="L15" s="7" t="inlineStr">
        <is>
          <t>kit</t>
        </is>
      </c>
      <c r="M15" s="8" t="n">
        <v>25</v>
      </c>
      <c r="N15" s="9">
        <f>E15*M15</f>
        <v/>
      </c>
    </row>
    <row r="16">
      <c r="A16" s="15" t="n">
        <v>6</v>
      </c>
      <c r="B16" s="7" t="inlineStr">
        <is>
          <t>FAN</t>
        </is>
      </c>
      <c r="C16" s="7" t="inlineStr">
        <is>
          <t>80 mm fan, 5 V, low noise</t>
        </is>
      </c>
      <c r="D16" s="7" t="inlineStr">
        <is>
          <t>80 mm</t>
        </is>
      </c>
      <c r="E16" s="15" t="n">
        <v>1</v>
      </c>
      <c r="F16" s="15" t="inlineStr">
        <is>
          <t>pcs</t>
        </is>
      </c>
      <c r="G16" s="7" t="inlineStr">
        <is>
          <t>Noctua</t>
        </is>
      </c>
      <c r="H16" s="7" t="inlineStr">
        <is>
          <t>NF-A8-5V</t>
        </is>
      </c>
      <c r="I16" s="7" t="inlineStr">
        <is>
          <t>fan</t>
        </is>
      </c>
      <c r="J16" s="7" t="inlineStr">
        <is>
          <t>thermal</t>
        </is>
      </c>
      <c r="K16" s="7" t="inlineStr">
        <is>
          <t>Digi-Key</t>
        </is>
      </c>
      <c r="L16" s="7" t="inlineStr">
        <is>
          <t>NF-A8-5V-ND</t>
        </is>
      </c>
      <c r="M16" s="8" t="n">
        <v>12</v>
      </c>
      <c r="N16" s="9">
        <f>E16*M16</f>
        <v/>
      </c>
    </row>
    <row r="17">
      <c r="A17" s="15" t="n">
        <v>7</v>
      </c>
      <c r="B17" s="7" t="inlineStr">
        <is>
          <t>FPGA</t>
        </is>
      </c>
      <c r="C17" s="7" t="inlineStr">
        <is>
          <t>FPGA XC7A35T-1FTG256C (33k LC, 1.8 Mb BRAM, 90 DSP, 170 I/O)</t>
        </is>
      </c>
      <c r="D17" s="7" t="inlineStr">
        <is>
          <t>FTG256</t>
        </is>
      </c>
      <c r="E17" s="15" t="n">
        <v>1</v>
      </c>
      <c r="F17" s="15" t="inlineStr">
        <is>
          <t>pcs</t>
        </is>
      </c>
      <c r="G17" s="7" t="inlineStr">
        <is>
          <t>Digilent</t>
        </is>
      </c>
      <c r="H17" s="7" t="inlineStr">
        <is>
          <t>ZYBO-Z7-20 (owned)</t>
        </is>
      </c>
      <c r="I17" s="7" t="inlineStr">
        <is>
          <t>board</t>
        </is>
      </c>
      <c r="J17" s="7" t="inlineStr">
        <is>
          <t>FPGA</t>
        </is>
      </c>
      <c r="K17" s="7" t="inlineStr">
        <is>
          <t>owned</t>
        </is>
      </c>
      <c r="L17" s="7" t="inlineStr">
        <is>
          <t>owned</t>
        </is>
      </c>
      <c r="M17" s="8" t="n">
        <v>70</v>
      </c>
      <c r="N17" s="9">
        <f>E17*M17</f>
        <v/>
      </c>
    </row>
    <row r="18">
      <c r="A18" s="16" t="inlineStr"/>
      <c r="B18" s="10" t="inlineStr">
        <is>
          <t>TOTAL FPGA-IF-01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2" t="n"/>
      <c r="N18" s="13">
        <f>SUM(N11:N17)</f>
        <v/>
      </c>
    </row>
  </sheetData>
  <mergeCells count="2">
    <mergeCell ref="A8:N8"/>
    <mergeCell ref="B18:M18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zoomScale="85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52" customWidth="1" min="3" max="3"/>
    <col width="16" customWidth="1" min="4" max="4"/>
    <col width="7" customWidth="1" min="5" max="5"/>
    <col width="7" customWidth="1" min="6" max="6"/>
    <col width="18" customWidth="1" min="7" max="7"/>
    <col width="26" customWidth="1" min="8" max="8"/>
    <col width="16" customWidth="1" min="9" max="9"/>
    <col width="12" customWidth="1" min="10" max="10"/>
    <col width="16" customWidth="1" min="11" max="11"/>
    <col width="26" customWidth="1" min="12" max="12"/>
    <col width="11" customWidth="1" min="13" max="13"/>
    <col width="12" customWidth="1" min="14" max="14"/>
  </cols>
  <sheetData>
    <row r="1">
      <c r="A1" s="4" t="inlineStr">
        <is>
          <t>Company:</t>
        </is>
      </c>
      <c r="B1" t="inlineStr">
        <is>
          <t>Concordia University, Department of Electrical and Computer Engineering</t>
        </is>
      </c>
    </row>
    <row r="2">
      <c r="A2" s="4" t="inlineStr">
        <is>
          <t>Project:</t>
        </is>
      </c>
      <c r="B2" t="inlineStr">
        <is>
          <t>EM AccuBot - Team 25 (ELEC/COEN 490)</t>
        </is>
      </c>
    </row>
    <row r="3">
      <c r="A3" s="4" t="inlineStr">
        <is>
          <t>Design ref.:</t>
        </is>
      </c>
      <c r="B3" t="inlineStr">
        <is>
          <t>PEN-01 - pen coil + cable</t>
        </is>
      </c>
    </row>
    <row r="4">
      <c r="A4" s="4" t="inlineStr">
        <is>
          <t>Prepared by:</t>
        </is>
      </c>
      <c r="B4" t="inlineStr">
        <is>
          <t>Team 25 / design review</t>
        </is>
      </c>
    </row>
    <row r="5">
      <c r="A5" s="4" t="inlineStr">
        <is>
          <t>Rev.#</t>
        </is>
      </c>
      <c r="B5" t="inlineStr">
        <is>
          <t>0.01</t>
        </is>
      </c>
      <c r="C5" t="inlineStr">
        <is>
          <t>Date:</t>
        </is>
      </c>
      <c r="D5" t="inlineStr">
        <is>
          <t>2026-10-27</t>
        </is>
      </c>
    </row>
    <row r="6">
      <c r="A6" s="4" t="inlineStr">
        <is>
          <t>Approved by:</t>
        </is>
      </c>
      <c r="B6" t="inlineStr">
        <is>
          <t>(sign before order)</t>
        </is>
      </c>
    </row>
    <row r="8">
      <c r="A8" s="5" t="inlineStr">
        <is>
          <t>BOM - PEN-01 - pen coil + cable (Rev A, estimates; re-quote at order)</t>
        </is>
      </c>
    </row>
    <row r="10">
      <c r="A10" s="6" t="inlineStr">
        <is>
          <t>Item #</t>
        </is>
      </c>
      <c r="B10" s="6" t="inlineStr">
        <is>
          <t>Design Reference #</t>
        </is>
      </c>
      <c r="C10" s="6" t="inlineStr">
        <is>
          <t>Description</t>
        </is>
      </c>
      <c r="D10" s="6" t="inlineStr">
        <is>
          <t>Value</t>
        </is>
      </c>
      <c r="E10" s="6" t="inlineStr">
        <is>
          <t>QTY</t>
        </is>
      </c>
      <c r="F10" s="6" t="inlineStr">
        <is>
          <t>Unit</t>
        </is>
      </c>
      <c r="G10" s="6" t="inlineStr">
        <is>
          <t>Manufacturer</t>
        </is>
      </c>
      <c r="H10" s="6" t="inlineStr">
        <is>
          <t>Manufacturer Part#</t>
        </is>
      </c>
      <c r="I10" s="6" t="inlineStr">
        <is>
          <t>Package</t>
        </is>
      </c>
      <c r="J10" s="6" t="inlineStr">
        <is>
          <t>Type</t>
        </is>
      </c>
      <c r="K10" s="6" t="inlineStr">
        <is>
          <t>Supplier</t>
        </is>
      </c>
      <c r="L10" s="6" t="inlineStr">
        <is>
          <t>Supplier P/N</t>
        </is>
      </c>
      <c r="M10" s="6" t="inlineStr">
        <is>
          <t>Price (CAD)</t>
        </is>
      </c>
      <c r="N10" s="6" t="inlineStr">
        <is>
          <t>Ext.price (CAD)</t>
        </is>
      </c>
    </row>
    <row r="11">
      <c r="A11" s="15" t="n">
        <v>1</v>
      </c>
      <c r="B11" s="7" t="inlineStr">
        <is>
          <t>J1,J2</t>
        </is>
      </c>
      <c r="C11" s="7" t="inlineStr">
        <is>
          <t>Mini-XLR 3-pos chassis receptacle, male pins</t>
        </is>
      </c>
      <c r="D11" s="7" t="inlineStr">
        <is>
          <t>IO-TXLR3-M</t>
        </is>
      </c>
      <c r="E11" s="15" t="n">
        <v>3</v>
      </c>
      <c r="F11" s="15" t="inlineStr">
        <is>
          <t>pcs</t>
        </is>
      </c>
      <c r="G11" s="7" t="inlineStr">
        <is>
          <t>IO</t>
        </is>
      </c>
      <c r="H11" s="7" t="inlineStr">
        <is>
          <t>IO-TXLR3-M-PS-1</t>
        </is>
      </c>
      <c r="I11" s="7" t="inlineStr">
        <is>
          <t>panel</t>
        </is>
      </c>
      <c r="J11" s="7" t="inlineStr">
        <is>
          <t>connector</t>
        </is>
      </c>
      <c r="K11" s="7" t="inlineStr">
        <is>
          <t>Digi-Key</t>
        </is>
      </c>
      <c r="L11" s="7" t="inlineStr">
        <is>
          <t>1937-IO-TXLR3-M-PS-1-ND</t>
        </is>
      </c>
      <c r="M11" s="8" t="n">
        <v>8.41</v>
      </c>
      <c r="N11" s="9">
        <f>E11*M11</f>
        <v/>
      </c>
    </row>
    <row r="12">
      <c r="A12" s="15" t="n">
        <v>2</v>
      </c>
      <c r="B12" s="7" t="inlineStr">
        <is>
          <t>P1,P2</t>
        </is>
      </c>
      <c r="C12" s="7" t="inlineStr">
        <is>
          <t>Mini-XLR 3-pos cable plug, female sockets</t>
        </is>
      </c>
      <c r="D12" s="7" t="inlineStr">
        <is>
          <t>IO-TXLR3-F</t>
        </is>
      </c>
      <c r="E12" s="15" t="n">
        <v>3</v>
      </c>
      <c r="F12" s="15" t="inlineStr">
        <is>
          <t>pcs</t>
        </is>
      </c>
      <c r="G12" s="7" t="inlineStr">
        <is>
          <t>IO</t>
        </is>
      </c>
      <c r="H12" s="7" t="inlineStr">
        <is>
          <t>IO-TXLR3-F</t>
        </is>
      </c>
      <c r="I12" s="7" t="inlineStr">
        <is>
          <t>cable</t>
        </is>
      </c>
      <c r="J12" s="7" t="inlineStr">
        <is>
          <t>connector</t>
        </is>
      </c>
      <c r="K12" s="7" t="inlineStr">
        <is>
          <t>Digi-Key</t>
        </is>
      </c>
      <c r="L12" s="7" t="inlineStr">
        <is>
          <t>1937-IO-TXLR3-F-ND</t>
        </is>
      </c>
      <c r="M12" s="8" t="n">
        <v>9.06</v>
      </c>
      <c r="N12" s="9">
        <f>E12*M12</f>
        <v/>
      </c>
    </row>
    <row r="13">
      <c r="A13" s="15" t="n">
        <v>3</v>
      </c>
      <c r="B13" s="7" t="inlineStr">
        <is>
          <t>W1a,W1b</t>
        </is>
      </c>
      <c r="C13" s="7" t="inlineStr">
        <is>
          <t>Mogami W2697 2-conductor 28 AWG miniature balanced cable</t>
        </is>
      </c>
      <c r="D13" s="7" t="inlineStr">
        <is>
          <t>W2697</t>
        </is>
      </c>
      <c r="E13" s="15" t="n">
        <v>10</v>
      </c>
      <c r="F13" s="15" t="inlineStr">
        <is>
          <t>ft</t>
        </is>
      </c>
      <c r="G13" s="7" t="inlineStr">
        <is>
          <t>Mogami</t>
        </is>
      </c>
      <c r="H13" s="7" t="inlineStr">
        <is>
          <t>W2697</t>
        </is>
      </c>
      <c r="I13" s="7" t="inlineStr">
        <is>
          <t>bulk</t>
        </is>
      </c>
      <c r="J13" s="7" t="inlineStr">
        <is>
          <t>cable</t>
        </is>
      </c>
      <c r="K13" s="7" t="inlineStr">
        <is>
          <t>Studio Economik</t>
        </is>
      </c>
      <c r="L13" s="7" t="inlineStr">
        <is>
          <t>ID 12608</t>
        </is>
      </c>
      <c r="M13" s="8" t="n">
        <v>0.75</v>
      </c>
      <c r="N13" s="9">
        <f>E13*M13</f>
        <v/>
      </c>
    </row>
    <row r="14">
      <c r="A14" s="15" t="n">
        <v>4</v>
      </c>
      <c r="B14" s="7" t="inlineStr">
        <is>
          <t>W2</t>
        </is>
      </c>
      <c r="C14" s="7" t="inlineStr">
        <is>
          <t>Mogami W2893 4-conductor 26 AWG mini quad cable (reference)</t>
        </is>
      </c>
      <c r="D14" s="7" t="inlineStr">
        <is>
          <t>W2893</t>
        </is>
      </c>
      <c r="E14" s="15" t="n">
        <v>5</v>
      </c>
      <c r="F14" s="15" t="inlineStr">
        <is>
          <t>ft</t>
        </is>
      </c>
      <c r="G14" s="7" t="inlineStr">
        <is>
          <t>Mogami</t>
        </is>
      </c>
      <c r="H14" s="7" t="inlineStr">
        <is>
          <t>W2893</t>
        </is>
      </c>
      <c r="I14" s="7" t="inlineStr">
        <is>
          <t>bulk</t>
        </is>
      </c>
      <c r="J14" s="7" t="inlineStr">
        <is>
          <t>cable</t>
        </is>
      </c>
      <c r="K14" s="7" t="inlineStr">
        <is>
          <t>Studio Economik</t>
        </is>
      </c>
      <c r="L14" s="7" t="inlineStr">
        <is>
          <t>ID 5521</t>
        </is>
      </c>
      <c r="M14" s="8" t="n">
        <v>1.61</v>
      </c>
      <c r="N14" s="9">
        <f>E14*M14</f>
        <v/>
      </c>
    </row>
    <row r="15">
      <c r="A15" s="15" t="n">
        <v>5</v>
      </c>
      <c r="B15" s="7" t="inlineStr">
        <is>
          <t>COIL</t>
        </is>
      </c>
      <c r="C15" s="7" t="inlineStr">
        <is>
          <t>Coil B build: 319 T, 0.19 mm wire, Delrin former, 3D shell, magnet tape</t>
        </is>
      </c>
      <c r="D15" s="7" t="inlineStr">
        <is>
          <t>319 T</t>
        </is>
      </c>
      <c r="E15" s="15" t="n">
        <v>2</v>
      </c>
      <c r="F15" s="15" t="inlineStr">
        <is>
          <t>pcs</t>
        </is>
      </c>
      <c r="G15" s="7" t="inlineStr">
        <is>
          <t>in-house</t>
        </is>
      </c>
      <c r="H15" s="7" t="inlineStr">
        <is>
          <t>COIL-B</t>
        </is>
      </c>
      <c r="I15" s="7" t="inlineStr">
        <is>
          <t>pen</t>
        </is>
      </c>
      <c r="J15" s="7" t="inlineStr">
        <is>
          <t>coil</t>
        </is>
      </c>
      <c r="K15" s="7" t="inlineStr">
        <is>
          <t>in-house</t>
        </is>
      </c>
      <c r="L15" s="7" t="inlineStr">
        <is>
          <t>winding</t>
        </is>
      </c>
      <c r="M15" s="8" t="n">
        <v>25</v>
      </c>
      <c r="N15" s="9">
        <f>E15*M15</f>
        <v/>
      </c>
    </row>
    <row r="16">
      <c r="A16" s="15" t="n">
        <v>6</v>
      </c>
      <c r="B16" s="7" t="inlineStr">
        <is>
          <t>REF</t>
        </is>
      </c>
      <c r="C16" s="7" t="inlineStr">
        <is>
          <t>Reference coil B, fixed at FG edge</t>
        </is>
      </c>
      <c r="D16" s="7" t="inlineStr">
        <is>
          <t>319 T</t>
        </is>
      </c>
      <c r="E16" s="15" t="n">
        <v>1</v>
      </c>
      <c r="F16" s="15" t="inlineStr">
        <is>
          <t>pcs</t>
        </is>
      </c>
      <c r="G16" s="7" t="inlineStr">
        <is>
          <t>in-house</t>
        </is>
      </c>
      <c r="H16" s="7" t="inlineStr">
        <is>
          <t>COIL-B-REF</t>
        </is>
      </c>
      <c r="I16" s="7" t="inlineStr">
        <is>
          <t>ref</t>
        </is>
      </c>
      <c r="J16" s="7" t="inlineStr">
        <is>
          <t>coil</t>
        </is>
      </c>
      <c r="K16" s="7" t="inlineStr">
        <is>
          <t>in-house</t>
        </is>
      </c>
      <c r="L16" s="7" t="inlineStr">
        <is>
          <t>winding</t>
        </is>
      </c>
      <c r="M16" s="8" t="n">
        <v>25</v>
      </c>
      <c r="N16" s="9">
        <f>E16*M16</f>
        <v/>
      </c>
    </row>
    <row r="17">
      <c r="A17" s="15" t="n">
        <v>7</v>
      </c>
      <c r="B17" s="7" t="inlineStr">
        <is>
          <t>MISC</t>
        </is>
      </c>
      <c r="C17" s="7" t="inlineStr">
        <is>
          <t>Epoxy, shield braid, strain relief, labels</t>
        </is>
      </c>
      <c r="D17" s="7" t="inlineStr">
        <is>
          <t>mixed</t>
        </is>
      </c>
      <c r="E17" s="15" t="n">
        <v>1</v>
      </c>
      <c r="F17" s="15" t="inlineStr">
        <is>
          <t>lot</t>
        </is>
      </c>
      <c r="G17" s="7" t="inlineStr">
        <is>
          <t>various</t>
        </is>
      </c>
      <c r="H17" s="7" t="inlineStr">
        <is>
          <t>PEN-MISC</t>
        </is>
      </c>
      <c r="I17" s="7" t="inlineStr">
        <is>
          <t>mixed</t>
        </is>
      </c>
      <c r="J17" s="7" t="inlineStr">
        <is>
          <t>mech</t>
        </is>
      </c>
      <c r="K17" s="7" t="inlineStr">
        <is>
          <t>Digi-Key</t>
        </is>
      </c>
      <c r="L17" s="7" t="inlineStr">
        <is>
          <t>kit</t>
        </is>
      </c>
      <c r="M17" s="8" t="n">
        <v>10</v>
      </c>
      <c r="N17" s="9">
        <f>E17*M17</f>
        <v/>
      </c>
    </row>
    <row r="18">
      <c r="A18" s="16" t="inlineStr"/>
      <c r="B18" s="10" t="inlineStr">
        <is>
          <t>TOTAL PEN-01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2" t="n"/>
      <c r="N18" s="13">
        <f>SUM(N11:N17)</f>
        <v/>
      </c>
    </row>
  </sheetData>
  <mergeCells count="2">
    <mergeCell ref="A8:N8"/>
    <mergeCell ref="B18:M18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zoomScale="85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52" customWidth="1" min="3" max="3"/>
    <col width="16" customWidth="1" min="4" max="4"/>
    <col width="7" customWidth="1" min="5" max="5"/>
    <col width="7" customWidth="1" min="6" max="6"/>
    <col width="18" customWidth="1" min="7" max="7"/>
    <col width="26" customWidth="1" min="8" max="8"/>
    <col width="16" customWidth="1" min="9" max="9"/>
    <col width="12" customWidth="1" min="10" max="10"/>
    <col width="16" customWidth="1" min="11" max="11"/>
    <col width="26" customWidth="1" min="12" max="12"/>
    <col width="11" customWidth="1" min="13" max="13"/>
    <col width="12" customWidth="1" min="14" max="14"/>
  </cols>
  <sheetData>
    <row r="1">
      <c r="A1" s="4" t="inlineStr">
        <is>
          <t>Company:</t>
        </is>
      </c>
      <c r="B1" t="inlineStr">
        <is>
          <t>Concordia University, Department of Electrical and Computer Engineering</t>
        </is>
      </c>
    </row>
    <row r="2">
      <c r="A2" s="4" t="inlineStr">
        <is>
          <t>Project:</t>
        </is>
      </c>
      <c r="B2" t="inlineStr">
        <is>
          <t>EM AccuBot - Team 25 (ELEC/COEN 490)</t>
        </is>
      </c>
    </row>
    <row r="3">
      <c r="A3" s="4" t="inlineStr">
        <is>
          <t>Design ref.:</t>
        </is>
      </c>
      <c r="B3" t="inlineStr">
        <is>
          <t>PMS-01 - follower XYZ</t>
        </is>
      </c>
    </row>
    <row r="4">
      <c r="A4" s="4" t="inlineStr">
        <is>
          <t>Prepared by:</t>
        </is>
      </c>
      <c r="B4" t="inlineStr">
        <is>
          <t>Team 25 / design review</t>
        </is>
      </c>
    </row>
    <row r="5">
      <c r="A5" s="4" t="inlineStr">
        <is>
          <t>Rev.#</t>
        </is>
      </c>
      <c r="B5" t="inlineStr">
        <is>
          <t>0.01</t>
        </is>
      </c>
      <c r="C5" t="inlineStr">
        <is>
          <t>Date:</t>
        </is>
      </c>
      <c r="D5" t="inlineStr">
        <is>
          <t>2026-10-27</t>
        </is>
      </c>
    </row>
    <row r="6">
      <c r="A6" s="4" t="inlineStr">
        <is>
          <t>Approved by:</t>
        </is>
      </c>
      <c r="B6" t="inlineStr">
        <is>
          <t>(sign before order)</t>
        </is>
      </c>
    </row>
    <row r="8">
      <c r="A8" s="5" t="inlineStr">
        <is>
          <t>BOM - PMS-01 - follower XYZ (Rev A, estimates; re-quote at order)</t>
        </is>
      </c>
    </row>
    <row r="10">
      <c r="A10" s="6" t="inlineStr">
        <is>
          <t>Item #</t>
        </is>
      </c>
      <c r="B10" s="6" t="inlineStr">
        <is>
          <t>Design Reference #</t>
        </is>
      </c>
      <c r="C10" s="6" t="inlineStr">
        <is>
          <t>Description</t>
        </is>
      </c>
      <c r="D10" s="6" t="inlineStr">
        <is>
          <t>Value</t>
        </is>
      </c>
      <c r="E10" s="6" t="inlineStr">
        <is>
          <t>QTY</t>
        </is>
      </c>
      <c r="F10" s="6" t="inlineStr">
        <is>
          <t>Unit</t>
        </is>
      </c>
      <c r="G10" s="6" t="inlineStr">
        <is>
          <t>Manufacturer</t>
        </is>
      </c>
      <c r="H10" s="6" t="inlineStr">
        <is>
          <t>Manufacturer Part#</t>
        </is>
      </c>
      <c r="I10" s="6" t="inlineStr">
        <is>
          <t>Package</t>
        </is>
      </c>
      <c r="J10" s="6" t="inlineStr">
        <is>
          <t>Type</t>
        </is>
      </c>
      <c r="K10" s="6" t="inlineStr">
        <is>
          <t>Supplier</t>
        </is>
      </c>
      <c r="L10" s="6" t="inlineStr">
        <is>
          <t>Supplier P/N</t>
        </is>
      </c>
      <c r="M10" s="6" t="inlineStr">
        <is>
          <t>Price (CAD)</t>
        </is>
      </c>
      <c r="N10" s="6" t="inlineStr">
        <is>
          <t>Ext.price (CAD)</t>
        </is>
      </c>
    </row>
    <row r="11">
      <c r="A11" s="15" t="n">
        <v>1</v>
      </c>
      <c r="B11" s="7" t="inlineStr">
        <is>
          <t>STAGE</t>
        </is>
      </c>
      <c r="C11" s="7" t="inlineStr">
        <is>
          <t>MicroManipulatorStepper mechanical kit incl. 3 motors, encoders, ball joints, printed parts</t>
        </is>
      </c>
      <c r="D11" s="7" t="inlineStr">
        <is>
          <t>XYZ</t>
        </is>
      </c>
      <c r="E11" s="15" t="n">
        <v>1</v>
      </c>
      <c r="F11" s="15" t="inlineStr">
        <is>
          <t>kit</t>
        </is>
      </c>
      <c r="G11" s="7" t="inlineStr">
        <is>
          <t>0x23</t>
        </is>
      </c>
      <c r="H11" s="7" t="inlineStr">
        <is>
          <t>MMS-KIT</t>
        </is>
      </c>
      <c r="I11" s="7" t="inlineStr">
        <is>
          <t>kit</t>
        </is>
      </c>
      <c r="J11" s="7" t="inlineStr">
        <is>
          <t>mech</t>
        </is>
      </c>
      <c r="K11" s="7" t="inlineStr">
        <is>
          <t>open-source</t>
        </is>
      </c>
      <c r="L11" s="7" t="inlineStr">
        <is>
          <t>GitHub BOM</t>
        </is>
      </c>
      <c r="M11" s="8" t="n">
        <v>320</v>
      </c>
      <c r="N11" s="9">
        <f>E11*M11</f>
        <v/>
      </c>
    </row>
    <row r="12">
      <c r="A12" s="15" t="n">
        <v>2</v>
      </c>
      <c r="B12" s="7" t="inlineStr">
        <is>
          <t>PICO</t>
        </is>
      </c>
      <c r="C12" s="7" t="inlineStr">
        <is>
          <t>Raspberry Pi Pico 2 (RP2350)</t>
        </is>
      </c>
      <c r="D12" s="7" t="inlineStr">
        <is>
          <t>Pico 2</t>
        </is>
      </c>
      <c r="E12" s="15" t="n">
        <v>3</v>
      </c>
      <c r="F12" s="15" t="inlineStr">
        <is>
          <t>pcs</t>
        </is>
      </c>
      <c r="G12" s="7" t="inlineStr">
        <is>
          <t>Raspberry Pi</t>
        </is>
      </c>
      <c r="H12" s="7" t="inlineStr">
        <is>
          <t>SC1631</t>
        </is>
      </c>
      <c r="I12" s="7" t="inlineStr">
        <is>
          <t>module</t>
        </is>
      </c>
      <c r="J12" s="7" t="inlineStr">
        <is>
          <t>MCU</t>
        </is>
      </c>
      <c r="K12" s="7" t="inlineStr">
        <is>
          <t>Digi-Key</t>
        </is>
      </c>
      <c r="L12" s="7" t="inlineStr">
        <is>
          <t>2648-SC1631CT-ND</t>
        </is>
      </c>
      <c r="M12" s="8" t="n">
        <v>7</v>
      </c>
      <c r="N12" s="9">
        <f>E12*M12</f>
        <v/>
      </c>
    </row>
    <row r="13">
      <c r="A13" s="15" t="n">
        <v>3</v>
      </c>
      <c r="B13" s="7" t="inlineStr">
        <is>
          <t>DRV</t>
        </is>
      </c>
      <c r="C13" s="7" t="inlineStr">
        <is>
          <t>Stepper driver module, TMC2209</t>
        </is>
      </c>
      <c r="D13" s="7" t="inlineStr">
        <is>
          <t>TMC2209</t>
        </is>
      </c>
      <c r="E13" s="15" t="n">
        <v>3</v>
      </c>
      <c r="F13" s="15" t="inlineStr">
        <is>
          <t>pcs</t>
        </is>
      </c>
      <c r="G13" s="7" t="inlineStr">
        <is>
          <t>Trinamic</t>
        </is>
      </c>
      <c r="H13" s="7" t="inlineStr">
        <is>
          <t>TMC2209Silent</t>
        </is>
      </c>
      <c r="I13" s="7" t="inlineStr">
        <is>
          <t>module</t>
        </is>
      </c>
      <c r="J13" s="7" t="inlineStr">
        <is>
          <t>driver</t>
        </is>
      </c>
      <c r="K13" s="7" t="inlineStr">
        <is>
          <t>Digi-Key</t>
        </is>
      </c>
      <c r="L13" s="7" t="inlineStr">
        <is>
          <t>TMC2209-ND</t>
        </is>
      </c>
      <c r="M13" s="8" t="n">
        <v>12</v>
      </c>
      <c r="N13" s="9">
        <f>E13*M13</f>
        <v/>
      </c>
    </row>
    <row r="14">
      <c r="A14" s="15" t="n">
        <v>4</v>
      </c>
      <c r="B14" s="7" t="inlineStr">
        <is>
          <t>PSU</t>
        </is>
      </c>
      <c r="C14" s="7" t="inlineStr">
        <is>
          <t>5 V 2 A supply for Pico/drivers</t>
        </is>
      </c>
      <c r="D14" s="7" t="inlineStr">
        <is>
          <t>5 V 2 A</t>
        </is>
      </c>
      <c r="E14" s="15" t="n">
        <v>1</v>
      </c>
      <c r="F14" s="15" t="inlineStr">
        <is>
          <t>pcs</t>
        </is>
      </c>
      <c r="G14" s="7" t="inlineStr">
        <is>
          <t>Mean Well</t>
        </is>
      </c>
      <c r="H14" s="7" t="inlineStr">
        <is>
          <t>GSM25E05-P1J</t>
        </is>
      </c>
      <c r="I14" s="7" t="inlineStr">
        <is>
          <t>adapter</t>
        </is>
      </c>
      <c r="J14" s="7" t="inlineStr">
        <is>
          <t>PSU</t>
        </is>
      </c>
      <c r="K14" s="7" t="inlineStr">
        <is>
          <t>Digi-Key</t>
        </is>
      </c>
      <c r="L14" s="7" t="inlineStr">
        <is>
          <t>GSM25E05-P1J-ND</t>
        </is>
      </c>
      <c r="M14" s="8" t="n">
        <v>15</v>
      </c>
      <c r="N14" s="9">
        <f>E14*M14</f>
        <v/>
      </c>
    </row>
    <row r="15">
      <c r="A15" s="15" t="n">
        <v>5</v>
      </c>
      <c r="B15" s="7" t="inlineStr">
        <is>
          <t>MISC</t>
        </is>
      </c>
      <c r="C15" s="7" t="inlineStr">
        <is>
          <t>Fasteners, printed parts, wiring</t>
        </is>
      </c>
      <c r="D15" s="7" t="inlineStr">
        <is>
          <t>mixed</t>
        </is>
      </c>
      <c r="E15" s="15" t="n">
        <v>1</v>
      </c>
      <c r="F15" s="15" t="inlineStr">
        <is>
          <t>lot</t>
        </is>
      </c>
      <c r="G15" s="7" t="inlineStr">
        <is>
          <t>various</t>
        </is>
      </c>
      <c r="H15" s="7" t="inlineStr">
        <is>
          <t>PMS-MISC</t>
        </is>
      </c>
      <c r="I15" s="7" t="inlineStr">
        <is>
          <t>mixed</t>
        </is>
      </c>
      <c r="J15" s="7" t="inlineStr">
        <is>
          <t>mech</t>
        </is>
      </c>
      <c r="K15" s="7" t="inlineStr">
        <is>
          <t>Digi-Key</t>
        </is>
      </c>
      <c r="L15" s="7" t="inlineStr">
        <is>
          <t>kit</t>
        </is>
      </c>
      <c r="M15" s="8" t="n">
        <v>20</v>
      </c>
      <c r="N15" s="9">
        <f>E15*M15</f>
        <v/>
      </c>
    </row>
    <row r="16">
      <c r="A16" s="16" t="inlineStr"/>
      <c r="B16" s="10" t="inlineStr">
        <is>
          <t>TOTAL PMS-01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2" t="n"/>
      <c r="N16" s="13">
        <f>SUM(N11:N15)</f>
        <v/>
      </c>
    </row>
  </sheetData>
  <mergeCells count="2">
    <mergeCell ref="B16:M16"/>
    <mergeCell ref="A8:N8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zoomScale="85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52" customWidth="1" min="3" max="3"/>
    <col width="16" customWidth="1" min="4" max="4"/>
    <col width="7" customWidth="1" min="5" max="5"/>
    <col width="7" customWidth="1" min="6" max="6"/>
    <col width="18" customWidth="1" min="7" max="7"/>
    <col width="26" customWidth="1" min="8" max="8"/>
    <col width="16" customWidth="1" min="9" max="9"/>
    <col width="12" customWidth="1" min="10" max="10"/>
    <col width="16" customWidth="1" min="11" max="11"/>
    <col width="26" customWidth="1" min="12" max="12"/>
    <col width="11" customWidth="1" min="13" max="13"/>
    <col width="12" customWidth="1" min="14" max="14"/>
  </cols>
  <sheetData>
    <row r="1">
      <c r="A1" s="4" t="inlineStr">
        <is>
          <t>Company:</t>
        </is>
      </c>
      <c r="B1" t="inlineStr">
        <is>
          <t>Concordia University, Department of Electrical and Computer Engineering</t>
        </is>
      </c>
    </row>
    <row r="2">
      <c r="A2" s="4" t="inlineStr">
        <is>
          <t>Project:</t>
        </is>
      </c>
      <c r="B2" t="inlineStr">
        <is>
          <t>EM AccuBot - Team 25 (ELEC/COEN 490)</t>
        </is>
      </c>
    </row>
    <row r="3">
      <c r="A3" s="4" t="inlineStr">
        <is>
          <t>Design ref.:</t>
        </is>
      </c>
      <c r="B3" t="inlineStr">
        <is>
          <t>ENCL-01 - enclosure + camera</t>
        </is>
      </c>
    </row>
    <row r="4">
      <c r="A4" s="4" t="inlineStr">
        <is>
          <t>Prepared by:</t>
        </is>
      </c>
      <c r="B4" t="inlineStr">
        <is>
          <t>Team 25 / design review</t>
        </is>
      </c>
    </row>
    <row r="5">
      <c r="A5" s="4" t="inlineStr">
        <is>
          <t>Rev.#</t>
        </is>
      </c>
      <c r="B5" t="inlineStr">
        <is>
          <t>0.01</t>
        </is>
      </c>
      <c r="C5" t="inlineStr">
        <is>
          <t>Date:</t>
        </is>
      </c>
      <c r="D5" t="inlineStr">
        <is>
          <t>2026-10-27</t>
        </is>
      </c>
    </row>
    <row r="6">
      <c r="A6" s="4" t="inlineStr">
        <is>
          <t>Approved by:</t>
        </is>
      </c>
      <c r="B6" t="inlineStr">
        <is>
          <t>(sign before order)</t>
        </is>
      </c>
    </row>
    <row r="8">
      <c r="A8" s="5" t="inlineStr">
        <is>
          <t>BOM - ENCL-01 - enclosure + camera (Rev A, estimates; re-quote at order)</t>
        </is>
      </c>
    </row>
    <row r="10">
      <c r="A10" s="6" t="inlineStr">
        <is>
          <t>Item #</t>
        </is>
      </c>
      <c r="B10" s="6" t="inlineStr">
        <is>
          <t>Design Reference #</t>
        </is>
      </c>
      <c r="C10" s="6" t="inlineStr">
        <is>
          <t>Description</t>
        </is>
      </c>
      <c r="D10" s="6" t="inlineStr">
        <is>
          <t>Value</t>
        </is>
      </c>
      <c r="E10" s="6" t="inlineStr">
        <is>
          <t>QTY</t>
        </is>
      </c>
      <c r="F10" s="6" t="inlineStr">
        <is>
          <t>Unit</t>
        </is>
      </c>
      <c r="G10" s="6" t="inlineStr">
        <is>
          <t>Manufacturer</t>
        </is>
      </c>
      <c r="H10" s="6" t="inlineStr">
        <is>
          <t>Manufacturer Part#</t>
        </is>
      </c>
      <c r="I10" s="6" t="inlineStr">
        <is>
          <t>Package</t>
        </is>
      </c>
      <c r="J10" s="6" t="inlineStr">
        <is>
          <t>Type</t>
        </is>
      </c>
      <c r="K10" s="6" t="inlineStr">
        <is>
          <t>Supplier</t>
        </is>
      </c>
      <c r="L10" s="6" t="inlineStr">
        <is>
          <t>Supplier P/N</t>
        </is>
      </c>
      <c r="M10" s="6" t="inlineStr">
        <is>
          <t>Price (CAD)</t>
        </is>
      </c>
      <c r="N10" s="6" t="inlineStr">
        <is>
          <t>Ext.price (CAD)</t>
        </is>
      </c>
    </row>
    <row r="11">
      <c r="A11" s="15" t="n">
        <v>1</v>
      </c>
      <c r="B11" s="7" t="inlineStr">
        <is>
          <t>ENC</t>
        </is>
      </c>
      <c r="C11" s="7" t="inlineStr">
        <is>
          <t>Aluminum enclosure 400x300x150 mm, instrument case</t>
        </is>
      </c>
      <c r="D11" s="7" t="inlineStr">
        <is>
          <t>400x300x150</t>
        </is>
      </c>
      <c r="E11" s="15" t="n">
        <v>1</v>
      </c>
      <c r="F11" s="15" t="inlineStr">
        <is>
          <t>pcs</t>
        </is>
      </c>
      <c r="G11" s="7" t="inlineStr">
        <is>
          <t>Hammond</t>
        </is>
      </c>
      <c r="H11" s="7" t="inlineStr">
        <is>
          <t>1458VD5B</t>
        </is>
      </c>
      <c r="I11" s="7" t="inlineStr">
        <is>
          <t>case</t>
        </is>
      </c>
      <c r="J11" s="7" t="inlineStr">
        <is>
          <t>mech</t>
        </is>
      </c>
      <c r="K11" s="7" t="inlineStr">
        <is>
          <t>Digi-Key</t>
        </is>
      </c>
      <c r="L11" s="7" t="inlineStr">
        <is>
          <t>HM-1458VD5B-ND</t>
        </is>
      </c>
      <c r="M11" s="8" t="n">
        <v>120</v>
      </c>
      <c r="N11" s="9">
        <f>E11*M11</f>
        <v/>
      </c>
    </row>
    <row r="12">
      <c r="A12" s="15" t="n">
        <v>2</v>
      </c>
      <c r="B12" s="7" t="inlineStr">
        <is>
          <t>SHIELD</t>
        </is>
      </c>
      <c r="C12" s="7" t="inlineStr">
        <is>
          <t>Internal aluminum/copper-clad shield partition</t>
        </is>
      </c>
      <c r="D12" s="7" t="inlineStr">
        <is>
          <t>custom</t>
        </is>
      </c>
      <c r="E12" s="15" t="n">
        <v>1</v>
      </c>
      <c r="F12" s="15" t="inlineStr">
        <is>
          <t>pcs</t>
        </is>
      </c>
      <c r="G12" s="7" t="inlineStr">
        <is>
          <t>in-house</t>
        </is>
      </c>
      <c r="H12" s="7" t="inlineStr">
        <is>
          <t>SHIELD-01</t>
        </is>
      </c>
      <c r="I12" s="7" t="inlineStr">
        <is>
          <t>mech</t>
        </is>
      </c>
      <c r="J12" s="7" t="inlineStr">
        <is>
          <t>mech</t>
        </is>
      </c>
      <c r="K12" s="7" t="inlineStr">
        <is>
          <t>in-house</t>
        </is>
      </c>
      <c r="L12" s="7" t="inlineStr">
        <is>
          <t>sheet</t>
        </is>
      </c>
      <c r="M12" s="8" t="n">
        <v>25</v>
      </c>
      <c r="N12" s="9">
        <f>E12*M12</f>
        <v/>
      </c>
    </row>
    <row r="13">
      <c r="A13" s="15" t="n">
        <v>3</v>
      </c>
      <c r="B13" s="7" t="inlineStr">
        <is>
          <t>ESTOP</t>
        </is>
      </c>
      <c r="C13" s="7" t="inlineStr">
        <is>
          <t>NC mushroom E-stop, 22 mm, latching, IP65</t>
        </is>
      </c>
      <c r="D13" s="7" t="inlineStr">
        <is>
          <t>XB4BS8444</t>
        </is>
      </c>
      <c r="E13" s="15" t="n">
        <v>1</v>
      </c>
      <c r="F13" s="15" t="inlineStr">
        <is>
          <t>pcs</t>
        </is>
      </c>
      <c r="G13" s="7" t="inlineStr">
        <is>
          <t>Schneider</t>
        </is>
      </c>
      <c r="H13" s="7" t="inlineStr">
        <is>
          <t>XB4BS8444</t>
        </is>
      </c>
      <c r="I13" s="7" t="inlineStr">
        <is>
          <t>panel</t>
        </is>
      </c>
      <c r="J13" s="7" t="inlineStr">
        <is>
          <t>safety</t>
        </is>
      </c>
      <c r="K13" s="7" t="inlineStr">
        <is>
          <t>Digi-Key</t>
        </is>
      </c>
      <c r="L13" s="7" t="inlineStr">
        <is>
          <t>XB4BS8444-ND</t>
        </is>
      </c>
      <c r="M13" s="8" t="n">
        <v>30</v>
      </c>
      <c r="N13" s="9">
        <f>E13*M13</f>
        <v/>
      </c>
    </row>
    <row r="14">
      <c r="A14" s="15" t="n">
        <v>4</v>
      </c>
      <c r="B14" s="7" t="inlineStr">
        <is>
          <t>FAN</t>
        </is>
      </c>
      <c r="C14" s="7" t="inlineStr">
        <is>
          <t>Fan/filter kit for enclosure</t>
        </is>
      </c>
      <c r="D14" s="7" t="inlineStr">
        <is>
          <t>80 mm</t>
        </is>
      </c>
      <c r="E14" s="15" t="n">
        <v>1</v>
      </c>
      <c r="F14" s="15" t="inlineStr">
        <is>
          <t>pcs</t>
        </is>
      </c>
      <c r="G14" s="7" t="inlineStr">
        <is>
          <t>various</t>
        </is>
      </c>
      <c r="H14" s="7" t="inlineStr">
        <is>
          <t>FAN-FILTER-80</t>
        </is>
      </c>
      <c r="I14" s="7" t="inlineStr">
        <is>
          <t>kit</t>
        </is>
      </c>
      <c r="J14" s="7" t="inlineStr">
        <is>
          <t>thermal</t>
        </is>
      </c>
      <c r="K14" s="7" t="inlineStr">
        <is>
          <t>Digi-Key</t>
        </is>
      </c>
      <c r="L14" s="7" t="inlineStr">
        <is>
          <t>kit</t>
        </is>
      </c>
      <c r="M14" s="8" t="n">
        <v>25</v>
      </c>
      <c r="N14" s="9">
        <f>E14*M14</f>
        <v/>
      </c>
    </row>
    <row r="15">
      <c r="A15" s="15" t="n">
        <v>5</v>
      </c>
      <c r="B15" s="7" t="inlineStr">
        <is>
          <t>CABLES</t>
        </is>
      </c>
      <c r="C15" s="7" t="inlineStr">
        <is>
          <t>Panel cables, feedthroughs, strain relief</t>
        </is>
      </c>
      <c r="D15" s="7" t="inlineStr">
        <is>
          <t>mixed</t>
        </is>
      </c>
      <c r="E15" s="15" t="n">
        <v>1</v>
      </c>
      <c r="F15" s="15" t="inlineStr">
        <is>
          <t>lot</t>
        </is>
      </c>
      <c r="G15" s="7" t="inlineStr">
        <is>
          <t>various</t>
        </is>
      </c>
      <c r="H15" s="7" t="inlineStr">
        <is>
          <t>CABLE-ENCL</t>
        </is>
      </c>
      <c r="I15" s="7" t="inlineStr">
        <is>
          <t>mixed</t>
        </is>
      </c>
      <c r="J15" s="7" t="inlineStr">
        <is>
          <t>cable</t>
        </is>
      </c>
      <c r="K15" s="7" t="inlineStr">
        <is>
          <t>Digi-Key</t>
        </is>
      </c>
      <c r="L15" s="7" t="inlineStr">
        <is>
          <t>kit</t>
        </is>
      </c>
      <c r="M15" s="8" t="n">
        <v>50</v>
      </c>
      <c r="N15" s="9">
        <f>E15*M15</f>
        <v/>
      </c>
    </row>
    <row r="16">
      <c r="A16" s="15" t="n">
        <v>6</v>
      </c>
      <c r="B16" s="7" t="inlineStr">
        <is>
          <t>CAM</t>
        </is>
      </c>
      <c r="C16" s="7" t="inlineStr">
        <is>
          <t>USB digital microscope, 50x-500x, LED</t>
        </is>
      </c>
      <c r="D16" s="7" t="inlineStr">
        <is>
          <t>50x</t>
        </is>
      </c>
      <c r="E16" s="15" t="n">
        <v>1</v>
      </c>
      <c r="F16" s="15" t="inlineStr">
        <is>
          <t>pcs</t>
        </is>
      </c>
      <c r="G16" s="7" t="inlineStr">
        <is>
          <t>AmScope</t>
        </is>
      </c>
      <c r="H16" s="7" t="inlineStr">
        <is>
          <t>AM-50X-500X</t>
        </is>
      </c>
      <c r="I16" s="7" t="inlineStr">
        <is>
          <t>camera</t>
        </is>
      </c>
      <c r="J16" s="7" t="inlineStr">
        <is>
          <t>camera</t>
        </is>
      </c>
      <c r="K16" s="7" t="inlineStr">
        <is>
          <t>Amazon</t>
        </is>
      </c>
      <c r="L16" s="7" t="inlineStr">
        <is>
          <t>B07N8J2R9F</t>
        </is>
      </c>
      <c r="M16" s="8" t="n">
        <v>75</v>
      </c>
      <c r="N16" s="9">
        <f>E16*M16</f>
        <v/>
      </c>
    </row>
    <row r="17">
      <c r="A17" s="15" t="n">
        <v>7</v>
      </c>
      <c r="B17" s="7" t="inlineStr">
        <is>
          <t>MON</t>
        </is>
      </c>
      <c r="C17" s="7" t="inlineStr">
        <is>
          <t>7 inch HDMI monitor, 1024x600</t>
        </is>
      </c>
      <c r="D17" s="7" t="inlineStr">
        <is>
          <t>7 in</t>
        </is>
      </c>
      <c r="E17" s="15" t="n">
        <v>1</v>
      </c>
      <c r="F17" s="15" t="inlineStr">
        <is>
          <t>pcs</t>
        </is>
      </c>
      <c r="G17" s="7" t="inlineStr">
        <is>
          <t>various</t>
        </is>
      </c>
      <c r="H17" s="7" t="inlineStr">
        <is>
          <t>7IN-HDMI</t>
        </is>
      </c>
      <c r="I17" s="7" t="inlineStr">
        <is>
          <t>monitor</t>
        </is>
      </c>
      <c r="J17" s="7" t="inlineStr">
        <is>
          <t>display</t>
        </is>
      </c>
      <c r="K17" s="7" t="inlineStr">
        <is>
          <t>Amazon</t>
        </is>
      </c>
      <c r="L17" s="7" t="inlineStr">
        <is>
          <t>quote</t>
        </is>
      </c>
      <c r="M17" s="8" t="n">
        <v>60</v>
      </c>
      <c r="N17" s="9">
        <f>E17*M17</f>
        <v/>
      </c>
    </row>
    <row r="18">
      <c r="A18" s="15" t="n">
        <v>8</v>
      </c>
      <c r="B18" s="7" t="inlineStr">
        <is>
          <t>PANEL</t>
        </is>
      </c>
      <c r="C18" s="7" t="inlineStr">
        <is>
          <t>Panel connectors: 15 V inlet, USB, HDMI, E-stop</t>
        </is>
      </c>
      <c r="D18" s="7" t="inlineStr">
        <is>
          <t>mixed</t>
        </is>
      </c>
      <c r="E18" s="15" t="n">
        <v>1</v>
      </c>
      <c r="F18" s="15" t="inlineStr">
        <is>
          <t>lot</t>
        </is>
      </c>
      <c r="G18" s="7" t="inlineStr">
        <is>
          <t>various</t>
        </is>
      </c>
      <c r="H18" s="7" t="inlineStr">
        <is>
          <t>PANEL-01</t>
        </is>
      </c>
      <c r="I18" s="7" t="inlineStr">
        <is>
          <t>mixed</t>
        </is>
      </c>
      <c r="J18" s="7" t="inlineStr">
        <is>
          <t>connector</t>
        </is>
      </c>
      <c r="K18" s="7" t="inlineStr">
        <is>
          <t>Digi-Key</t>
        </is>
      </c>
      <c r="L18" s="7" t="inlineStr">
        <is>
          <t>kit</t>
        </is>
      </c>
      <c r="M18" s="8" t="n">
        <v>30</v>
      </c>
      <c r="N18" s="9">
        <f>E18*M18</f>
        <v/>
      </c>
    </row>
    <row r="19">
      <c r="A19" s="16" t="inlineStr"/>
      <c r="B19" s="10" t="inlineStr">
        <is>
          <t>TOTAL ENCL-01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2" t="n"/>
      <c r="N19" s="13">
        <f>SUM(N11:N18)</f>
        <v/>
      </c>
    </row>
  </sheetData>
  <mergeCells count="2">
    <mergeCell ref="B19:M19"/>
    <mergeCell ref="A8:N8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5" t="inlineStr">
        <is>
          <t>SOURCING NOTES - SYSTEM-01</t>
        </is>
      </c>
    </row>
    <row r="2">
      <c r="A2" s="4" t="n"/>
      <c r="B2" s="2" t="n"/>
    </row>
    <row r="3">
      <c r="A3" s="17" t="inlineStr">
        <is>
          <t>Topic</t>
        </is>
      </c>
      <c r="B3" s="17" t="inlineStr">
        <is>
          <t>Note</t>
        </is>
      </c>
    </row>
    <row r="4">
      <c r="A4" s="18" t="inlineStr">
        <is>
          <t>Purpose</t>
        </is>
      </c>
      <c r="B4" s="7" t="inlineStr">
        <is>
          <t>Trace every BOM row to a locked decision, a price source, and a lifecycle note. Re-quote before order.</t>
        </is>
      </c>
    </row>
    <row r="5">
      <c r="A5" s="18" t="inlineStr">
        <is>
          <t>DAC80508 / LTC1563-2</t>
        </is>
      </c>
      <c r="B5" s="7" t="inlineStr">
        <is>
          <t>M16 selected 2026-10-27. DAC80508MRTET (WQFN-16, M=midscale reset, SDO pin, 250 small T&amp;R): Digi-Key 296-DAC80508MRTETCT-ND, $29.84 USD (~$42.52 CAD) 1+, 312 in stock. Mouser DAC80508ZCYZFT/DSBGA €22.81 (~$36.6 CAD) is Z (zero-scale) + C (CLR) + DSBGA, NOT equivalent to MRTET; do not substitute without a footprint/function change. LCSC C2679540 $22.70 USD (~$32.4 CAD) 27-49 in stock. AliExpress/Taobao ~98 CNY (~$19.6 CAD) but counterfeit risk; not for the accuracy build. LTC1563-2IGN#PBF: $3.13 at 1ku, ~$5.50 single.</t>
        </is>
      </c>
    </row>
    <row r="6">
      <c r="A6" s="18" t="inlineStr">
        <is>
          <t>LMH6321</t>
        </is>
      </c>
      <c r="B6" s="7" t="inlineStr">
        <is>
          <t>TI product page ACTIVE (300 mA buffer, 8-SO PowerPAD); distributor stock thin. Buy 8 + 2 spares now. Fallback: vendor Rev A discrete stage or a comparable high-current buffer with a deviation.</t>
        </is>
      </c>
    </row>
    <row r="7">
      <c r="A7" s="18" t="inlineStr">
        <is>
          <t>AD7768-4</t>
        </is>
      </c>
      <c r="B7" s="7" t="inlineStr">
        <is>
          <t>Digi-Key AD7768-4BSTZ-RL7, 64-LQFP; 2 pcs (build + spare). ADS1274IPAPR is a QTY=0 backup only.</t>
        </is>
      </c>
    </row>
    <row r="8">
      <c r="A8" s="18" t="inlineStr">
        <is>
          <t>INA163</t>
        </is>
      </c>
      <c r="B8" s="7" t="inlineStr">
        <is>
          <t>SOIC-14, 1.1 nV/sqrtHz; 2 pcs (build + spare). AD620/AD627 is 100 mm fallback only.</t>
        </is>
      </c>
    </row>
    <row r="9">
      <c r="A9" s="18" t="inlineStr">
        <is>
          <t>ADA4940-2</t>
        </is>
      </c>
      <c r="B9" s="7" t="inlineStr">
        <is>
          <t>LFCSP-24, fully differential ADC driver; 2 pcs (build + spare). ADA4896-2 is the alternate.</t>
        </is>
      </c>
    </row>
    <row r="10">
      <c r="A10" s="18" t="inlineStr">
        <is>
          <t>ADR434</t>
        </is>
      </c>
      <c r="B10" s="7" t="inlineStr">
        <is>
          <t>4.096 V XFET reference; one per board (driver + FE). Buffer with OPA192.</t>
        </is>
      </c>
    </row>
    <row r="11">
      <c r="A11" s="18" t="inlineStr">
        <is>
          <t>ME60A1503F01</t>
        </is>
      </c>
      <c r="B11" s="7" t="inlineStr">
        <is>
          <t>SL Power / Advanced Energy 15 V, 60 W, medical-grade, IEC C14 desktop; ~$36-51 USD. Confirm stock and cord.</t>
        </is>
      </c>
    </row>
    <row r="12">
      <c r="A12" s="18" t="inlineStr">
        <is>
          <t>RV-1515D</t>
        </is>
      </c>
      <c r="B12" s="7" t="inlineStr">
        <is>
          <t>RECOM 15 V in, +/-15 V out, 2 W, +/-66 mA; isolated analog module. LDO to +/-12 V with TPS7A4701/TPS7A33.</t>
        </is>
      </c>
    </row>
    <row r="13">
      <c r="A13" s="18" t="inlineStr">
        <is>
          <t>CSX750FBC32.768M</t>
        </is>
      </c>
      <c r="B13" s="7" t="inlineStr">
        <is>
          <t>Citizen 32.768 MHz CMOS XO, 3.3 V, ~$3.00 USD; one per FE board + spare. Jitter is adequate for the 30 ps target; measure at ADC-5.</t>
        </is>
      </c>
    </row>
    <row r="14">
      <c r="A14" s="18" t="inlineStr">
        <is>
          <t>E-stop</t>
        </is>
      </c>
      <c r="B14" s="7" t="inlineStr">
        <is>
          <t>Schneider XB4BS8444 (2NC, 22 mm) or AutomationDirect GCX1131 (1NC, 22 mm). NC contact in the +15 V_DRV enable; opto status to FPGA.</t>
        </is>
      </c>
    </row>
    <row r="15">
      <c r="A15" s="18" t="inlineStr">
        <is>
          <t>Enclosure</t>
        </is>
      </c>
      <c r="B15" s="7" t="inlineStr">
        <is>
          <t>Hammond 1458VD5B class 400x300x150 mm; internal shield partition; fan/filter. No metal within 150 mm of the tracking volume.</t>
        </is>
      </c>
    </row>
    <row r="16">
      <c r="A16" s="18" t="inlineStr">
        <is>
          <t>PMS</t>
        </is>
      </c>
      <c r="B16" s="7" t="inlineStr">
        <is>
          <t>MicroManipulatorStepper open-source kit; price is an estimate. Confirm the StepWiseDocs BOM; the repo BOM has deprecated parts.</t>
        </is>
      </c>
    </row>
    <row r="17">
      <c r="A17" s="18" t="inlineStr">
        <is>
          <t>Camera</t>
        </is>
      </c>
      <c r="B17" s="7" t="inlineStr">
        <is>
          <t>USB microscope 50x-500x (AmScope class) + 7 inch HDMI monitor; Phase 1 budget had 75 CAD for camera/test.</t>
        </is>
      </c>
    </row>
    <row r="18">
      <c r="A18" s="18" t="inlineStr">
        <is>
          <t>FX</t>
        </is>
      </c>
      <c r="B18" s="7" t="inlineStr">
        <is>
          <t>1 USD = 1.425 CAD; 1 EUR = 1.604 CAD (Oct 2026, phase2/README.md).</t>
        </is>
      </c>
    </row>
    <row r="19">
      <c r="A19" s="18" t="inlineStr">
        <is>
          <t>Budget</t>
        </is>
      </c>
      <c r="B19" s="7" t="inlineStr">
        <is>
          <t>M16 baseline is ~$2214 full system / ~$1387 controller-only; still above the $1000 cap. See Budget sheet for the variance and options. Do not order until the team signs the deviation or the trimmed configuration.</t>
        </is>
      </c>
    </row>
    <row r="20">
      <c r="A20" s="18" t="inlineStr">
        <is>
          <t>Do-not-do</t>
        </is>
      </c>
      <c r="B20" s="7" t="inlineStr">
        <is>
          <t>Do not add FG/PMS/enclosure rows to the sub-assembly sheets; they belong on their own sheets. Do not edit vendor/ or docs/BOM_template.xls.</t>
        </is>
      </c>
    </row>
    <row r="21">
      <c r="A21" s="4" t="inlineStr">
        <is>
          <t>FG PCB (300x300)</t>
        </is>
      </c>
      <c r="B21" s="2" t="inlineStr">
        <is>
          <t>The $95 CAD in FG-01 is a placeholder, not a quote. A 300x300 mm 2-layer 1.6 mm 1 oz ENIG board is priced by lot: 5 pcs typically ~$80-150 USD (~$115-215 CAD) plus shipping, i.e. ~$23-43 CAD/board; 2 pcs ~$50-100 USD (~$70-145 CAD) plus shipping, ~$35-72 CAD/board. Re-quote with the Gerbers; order 5 pcs for spares if the lot price is better. The 25-turn 0.5/0.25 mm traces are standard and add no fabrication premium.</t>
        </is>
      </c>
    </row>
    <row r="22">
      <c r="A22" s="4" t="inlineStr">
        <is>
          <t>Prototype DAC (bench)</t>
        </is>
      </c>
      <c r="B22" s="2" t="inlineStr">
        <is>
          <t>Pmod DA4 (Digilent, AD5628-1, 12-bit octal, 0-2.5 V, 32-bit SPI frames) is an allowed functional stand-in before the M16 board exists, but it is a DIFFERENT protocol: 32-bit frames, 8 frames/update, command 0010 update-all, no TRIGGER register. Run at XO/180 = 182.04 kSPS (256 bits at 49.152 MHz = 5.208 us does not fit the 5.005 us M16 period). code12 = code16/8 (2.5 V full scale, not &gt;&gt;4). AD5628 setup/hold are 4/4 ns, so it does NOT validate the DAC80508 0.17 ns hold. Quantization spurs ~-50 dBc; do not calibrate kappa on it.</t>
        </is>
      </c>
    </row>
    <row r="23">
      <c r="A23" s="4" t="inlineStr">
        <is>
          <t>16-bit bench DAC (option)</t>
        </is>
      </c>
      <c r="B23" s="2" t="inlineStr">
        <is>
          <t>TI DAC80508-04EVM (formerly DAC80508EVM), Digi-Key 296-DAC80508-04EVM-ND, ~$59 USD (~$81 CAD) list; 12-week lead, check local stock. Carries the DAC80508 in the 3x3 mm QFN, on-board 5 V/3.3 V rails, 8 output header pins, external SPI header, trigger output, on-board FT4232 (no USB2ANY needed). Good for 16-bit functional/INL/update-all checks; NOT a 49 MHz timing vehicle (FT4232 + header jumpers) and not a coil driver. A 2-layer DAC+filter slice board is cheaper and tests the real 49 MHz path. Verify the installed variant marking; the GUI default gain may be 1 (0-2.5 V) - force gain 2.</t>
        </is>
      </c>
    </row>
    <row r="24">
      <c r="A24" t="inlineStr">
        <is>
          <t>BRD-01 single board</t>
        </is>
      </c>
      <c r="B24" t="inlineStr">
        <is>
          <t>One 4-layer electronics board replaces PWR-DRV-01 + FE-ADC-01 + FPGA-IF-01. The three PCB lines were merged into the PWR-DRV sheet (5 x $25 = $125 placeholder, total unchanged); re-quote the 250x200 4-layer Gerbers. FPGA integration (on-board Zynq, module, or owned dev board) is still open and is not in this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2026-10-27T18:26:16Z</dcterms:created>
  <dcterms:modified xmlns:dcterms="http://purl.org/dc/terms/" xmlns:xsi="http://www.w3.org/2001/XMLSchema-instance" xsi:type="dcterms:W3CDTF">2026-10-28T20:36:18Z</dcterms:modified>
</cp:coreProperties>
</file>